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2" windowWidth="18960" windowHeight="11208"/>
  </bookViews>
  <sheets>
    <sheet name="Table 1" sheetId="1" r:id="rId1"/>
    <sheet name="Sheet2 (2)" sheetId="5" r:id="rId2"/>
    <sheet name="Sheet2" sheetId="4" r:id="rId3"/>
  </sheets>
  <calcPr calcId="144525"/>
</workbook>
</file>

<file path=xl/calcChain.xml><?xml version="1.0" encoding="utf-8"?>
<calcChain xmlns="http://schemas.openxmlformats.org/spreadsheetml/2006/main">
  <c r="E35" i="5" l="1"/>
  <c r="C3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15" i="5"/>
</calcChain>
</file>

<file path=xl/sharedStrings.xml><?xml version="1.0" encoding="utf-8"?>
<sst xmlns="http://schemas.openxmlformats.org/spreadsheetml/2006/main" count="393" uniqueCount="211">
  <si>
    <t>PRODUCT CATEGORY</t>
  </si>
  <si>
    <t>PRODUCT NAME</t>
  </si>
  <si>
    <t>HSN CODE</t>
  </si>
  <si>
    <t>PCS IN BOX/BAG</t>
  </si>
  <si>
    <t>DISTRIBUTOR RATE PER BOX/BAG INCL GST</t>
  </si>
  <si>
    <t>RETAILER RATE PER BOX/BAG INCL GST</t>
  </si>
  <si>
    <r>
      <rPr>
        <b/>
        <sz val="8"/>
        <rFont val="Arial"/>
        <family val="2"/>
      </rPr>
      <t>SR.
NO.</t>
    </r>
  </si>
  <si>
    <r>
      <rPr>
        <sz val="8"/>
        <rFont val="Arial MT"/>
        <family val="2"/>
      </rPr>
      <t>NAMKEEN</t>
    </r>
  </si>
  <si>
    <r>
      <rPr>
        <sz val="8"/>
        <rFont val="Arial MT"/>
        <family val="2"/>
      </rPr>
      <t>CHIPS</t>
    </r>
  </si>
  <si>
    <r>
      <rPr>
        <sz val="8"/>
        <rFont val="Arial MT"/>
        <family val="2"/>
      </rPr>
      <t>FRYUMS</t>
    </r>
  </si>
  <si>
    <r>
      <rPr>
        <sz val="8"/>
        <rFont val="Arial MT"/>
        <family val="2"/>
      </rPr>
      <t>EXTRUDED</t>
    </r>
  </si>
  <si>
    <r>
      <rPr>
        <sz val="8"/>
        <rFont val="Arial MT"/>
        <family val="2"/>
      </rPr>
      <t>CORN PRODUCTS</t>
    </r>
  </si>
  <si>
    <r>
      <rPr>
        <sz val="8"/>
        <rFont val="Arial MT"/>
        <family val="2"/>
      </rPr>
      <t>CHOCOS</t>
    </r>
  </si>
  <si>
    <r>
      <rPr>
        <sz val="8"/>
        <rFont val="Arial MT"/>
        <family val="2"/>
      </rPr>
      <t>BISCUITS</t>
    </r>
  </si>
  <si>
    <r>
      <rPr>
        <sz val="8"/>
        <rFont val="Arial MT"/>
        <family val="2"/>
      </rPr>
      <t>BAKERY</t>
    </r>
  </si>
  <si>
    <r>
      <rPr>
        <sz val="8"/>
        <rFont val="Arial MT"/>
        <family val="2"/>
      </rPr>
      <t>SWEETS</t>
    </r>
  </si>
  <si>
    <r>
      <rPr>
        <sz val="8"/>
        <rFont val="Arial MT"/>
        <family val="2"/>
      </rPr>
      <t>PAPAD</t>
    </r>
  </si>
  <si>
    <t>RATLAMI SEV - 5Rs</t>
  </si>
  <si>
    <t>FARALI CHIWDA MITHA - 5Rs</t>
  </si>
  <si>
    <t>FARALI CHIWDA TIKHA - 5Rs</t>
  </si>
  <si>
    <t>SING BHUJIYA - 5Rs</t>
  </si>
  <si>
    <t>MOONGDAL - 5Rs</t>
  </si>
  <si>
    <t>ALOO SEV - 5Rs</t>
  </si>
  <si>
    <t>SOYA STICK - 5Rs</t>
  </si>
  <si>
    <t>BIKANERI SEV - 5Rs</t>
  </si>
  <si>
    <t>FULWADI - 5Rs</t>
  </si>
  <si>
    <t>CHANA CHATAKA - 5Rs</t>
  </si>
  <si>
    <t>MUNCH MIX - 5Rs</t>
  </si>
  <si>
    <t>SOYA CHIPS - 5Rs</t>
  </si>
  <si>
    <t>MURUKKU - 5Rs</t>
  </si>
  <si>
    <t>TIKHA MITHA MIX - 5Rs</t>
  </si>
  <si>
    <t>KHATTA MITHA MIX - 5Rs</t>
  </si>
  <si>
    <t>TIKHI SEV - 5Rs</t>
  </si>
  <si>
    <t>PLAIN PAPDI - 5Rs</t>
  </si>
  <si>
    <t>MASALA PAPDI - 5Rs</t>
  </si>
  <si>
    <t>VANELA GANTHIYA - 5Rs</t>
  </si>
  <si>
    <t>PUNJABI TADKA - 5Rs</t>
  </si>
  <si>
    <t>SALTED PEANUTS - 5Rs</t>
  </si>
  <si>
    <t>MASALA PEANUTS - 5Rs</t>
  </si>
  <si>
    <t>BHAVNAGRI GANTHIYA - 5Rs</t>
  </si>
  <si>
    <t>NAYLON GANTHIYA - 5Rs</t>
  </si>
  <si>
    <t>MORI SEV - 5Rs</t>
  </si>
  <si>
    <t>BHAKHARWADI - 5Rs</t>
  </si>
  <si>
    <t>SAKKARPARA - 5Rs</t>
  </si>
  <si>
    <t>CHANADAL - 5Rs</t>
  </si>
  <si>
    <t>MAKAI CHIWDA - 5Rs</t>
  </si>
  <si>
    <t>DAL MUTH - 5Rs</t>
  </si>
  <si>
    <t>SEV MAMRA - 5Rs</t>
  </si>
  <si>
    <t>MASALA SEV MAMRA - 5Rs</t>
  </si>
  <si>
    <t>RATLAMI SEV - 10Rs</t>
  </si>
  <si>
    <t>FARALI CHIWDA MITHA - 10Rs</t>
  </si>
  <si>
    <t>FARALI CHIWDA TIKHA - 10Rs</t>
  </si>
  <si>
    <t>SING BHUJIYA - 10Rs</t>
  </si>
  <si>
    <t>MOONGDAL - 10Rs</t>
  </si>
  <si>
    <t>ALOO SEV - 10Rs</t>
  </si>
  <si>
    <t>TIKHA MITHA MIX - 10Rs</t>
  </si>
  <si>
    <t>KHATTA MITHA MIX - 10Rs</t>
  </si>
  <si>
    <t>BHAVNAGRI GANTHIYA - 10Rs</t>
  </si>
  <si>
    <t>CHANADAL - 10Rs</t>
  </si>
  <si>
    <t>SEV MAMRA - 10Rs</t>
  </si>
  <si>
    <t>MASALA SEV MAMRA - 10Rs</t>
  </si>
  <si>
    <t>SALTED PEANUTS - 10Rs</t>
  </si>
  <si>
    <t>MASALA PEANUTS - 10Rs</t>
  </si>
  <si>
    <t>PLAIN PAPDI - 20Rs</t>
  </si>
  <si>
    <t>KHATTA MITHA MIX - 20Rs</t>
  </si>
  <si>
    <t>TIKHA MITHA MIX - 20Rs</t>
  </si>
  <si>
    <t>ALOO SEV - 20Rs</t>
  </si>
  <si>
    <t>SING BHUJIYA - 20Rs</t>
  </si>
  <si>
    <t>BIKANERI SEV - 20Rs</t>
  </si>
  <si>
    <t>MOONGDAL - 20Rs</t>
  </si>
  <si>
    <t>FARALI CHIWDA TIKHA - 20Rs</t>
  </si>
  <si>
    <t>SEV MAMRA - 20Rs</t>
  </si>
  <si>
    <t>MASALA SEV MAMRA - 20Rs</t>
  </si>
  <si>
    <t>TIKHA MITHA MIX - 50Rs</t>
  </si>
  <si>
    <t>TIKHI SEV - 45Rs</t>
  </si>
  <si>
    <t>MORI SEV - 45Rs</t>
  </si>
  <si>
    <t>ALOO SEV - 50Rs</t>
  </si>
  <si>
    <t>BIKANERI SEV - 50Rs</t>
  </si>
  <si>
    <t>RATLAMI SEV - 45Rs</t>
  </si>
  <si>
    <t>BHAKHARWADI - 50Rs</t>
  </si>
  <si>
    <t>SAKKARPARA - 45Rs</t>
  </si>
  <si>
    <t>SING BHUJIYA - 45Rs</t>
  </si>
  <si>
    <t>PLAIN PAPDI - 45Rs</t>
  </si>
  <si>
    <t>VANELA GANTHIYA - 45Rs</t>
  </si>
  <si>
    <t>DAL MUTH - 45Rs</t>
  </si>
  <si>
    <t>CHANADAL - 45Rs</t>
  </si>
  <si>
    <t>MOONGDAL - 50Rs</t>
  </si>
  <si>
    <t>SOYA STICK - 45Rs</t>
  </si>
  <si>
    <t>CHAKLI - 45Rs</t>
  </si>
  <si>
    <t>MURUKKU - 45Rs</t>
  </si>
  <si>
    <t>MINI SAMOSA - 45Rs</t>
  </si>
  <si>
    <t>METHI MATTHI - 45Rs</t>
  </si>
  <si>
    <t>RATLAMI SEV - 90Rs</t>
  </si>
  <si>
    <t>ALOO SEV - 100Rs</t>
  </si>
  <si>
    <t>FARALI CHIWDA TIKHA - 95Rs</t>
  </si>
  <si>
    <t>FARALI CHIWDA MITHA - 95Rs</t>
  </si>
  <si>
    <t>TIKHA MITHA MIX - 90Rs</t>
  </si>
  <si>
    <t>KHATTA MITHA MIX - 90Rs</t>
  </si>
  <si>
    <t>BIKANERI SEV - 100Rs</t>
  </si>
  <si>
    <t>FULWADI - 85Rs</t>
  </si>
  <si>
    <t>KACHORI - 90Rs</t>
  </si>
  <si>
    <t>SING BHUJIYA - 90Rs</t>
  </si>
  <si>
    <t>MOONGDAL - 100Rs</t>
  </si>
  <si>
    <t>CHANADAL - 90Rs</t>
  </si>
  <si>
    <t>SAKKARPARA - 75Rs</t>
  </si>
  <si>
    <t>GUJARATI CHAWANA - 205Rs</t>
  </si>
  <si>
    <t>SIMPLY SALTED CHIPS - 5Rs</t>
  </si>
  <si>
    <t>MAGICAL MASALA CHIPS - 5Rs</t>
  </si>
  <si>
    <t>TWISTED TOMATO CHIPS - 5Rs</t>
  </si>
  <si>
    <t>CREAMY ONION CHIPS - 5Rs</t>
  </si>
  <si>
    <t>ROCK SALTED CHIPS - 5Rs</t>
  </si>
  <si>
    <t>CHILLI TADKA CHIPS - 5Rs</t>
  </si>
  <si>
    <t>CHILLI HARISSA CHIPS - 5Rs</t>
  </si>
  <si>
    <t>SIMPLY SALTED CHIPS - 10Rs</t>
  </si>
  <si>
    <t>MAGICAL MASALA CHIPS - 10Rs</t>
  </si>
  <si>
    <t>TWISTED TOMATO CHIPS - 10Rs</t>
  </si>
  <si>
    <t>CREAMY ONION CHIPS - 10Rs</t>
  </si>
  <si>
    <t>ROCK SALTED CHIPS - 10Rs</t>
  </si>
  <si>
    <t>CHILLI TADKA CHIPS - 10Rs</t>
  </si>
  <si>
    <t>CHILLI HARISSA CHIPS - 10Rs</t>
  </si>
  <si>
    <t>BANANA CHIPS - 10Rs</t>
  </si>
  <si>
    <t>SIMPLY SALTED CHIPS - 20Rs</t>
  </si>
  <si>
    <t>MAGICAL MASALA CHIPS - 20Rs</t>
  </si>
  <si>
    <t>TWISTED TOMATO CHIPS - 20Rs</t>
  </si>
  <si>
    <t>CREAMY ONION CHIPS - 20Rs</t>
  </si>
  <si>
    <t>ROCK SALTED CHIPS - 20Rs</t>
  </si>
  <si>
    <t>CHILLI TADKA CHIPS - 20Rs</t>
  </si>
  <si>
    <t>CHILLI HARISSA CHIPS - 20Rs</t>
  </si>
  <si>
    <t>SIMPLY SALTED CHIPS - 40Rs</t>
  </si>
  <si>
    <t>MAGICAL MASALA CHIPS - 40Rs</t>
  </si>
  <si>
    <t>ROCK SALTED CHIPS - 40Rs</t>
  </si>
  <si>
    <t>CHILLI TADKA CHIPS - 40Rs</t>
  </si>
  <si>
    <t>CHILLI HARISSA CHIPS - 40Rs</t>
  </si>
  <si>
    <t>BANANA CHIPS - 50Rs</t>
  </si>
  <si>
    <t>CHINESE PASTA - 5Rs</t>
  </si>
  <si>
    <t>CHATPATI KATORI - 5Rs</t>
  </si>
  <si>
    <t>TOMCHI ABCD - 5Rs</t>
  </si>
  <si>
    <t>SALTED REFILL - 5Rs</t>
  </si>
  <si>
    <t>KHATTI MITHI RING - 5Rs</t>
  </si>
  <si>
    <t>CHAUMIN NOODLES - 5Rs</t>
  </si>
  <si>
    <t>TOMATO KATORI - 5Rs</t>
  </si>
  <si>
    <t>PUDINA RING - 5Rs</t>
  </si>
  <si>
    <t>MASALA PANIPURI - 5Rs</t>
  </si>
  <si>
    <t>MASALA WHEELS - 5Rs</t>
  </si>
  <si>
    <t>CHATPATA TRIANGLE - 5Rs</t>
  </si>
  <si>
    <t>JEERA PAPAD - 5Rs</t>
  </si>
  <si>
    <t>CHATPATI KATORI - 10Rs</t>
  </si>
  <si>
    <t>SALTED REFILL - 10Rs</t>
  </si>
  <si>
    <t>KHATTI MITHI RING - 10Rs</t>
  </si>
  <si>
    <t>TOMATO KATORI - 10Rs</t>
  </si>
  <si>
    <t>MASALA WHEELS - 10Rs</t>
  </si>
  <si>
    <t>CHATPATA TRIANGLE - 10Rs</t>
  </si>
  <si>
    <t>CHATAKA DHAMAKA (MASALA) - 5Rs</t>
  </si>
  <si>
    <t>CHATAKA DHAMAKA (TOMATO) - 5Rs</t>
  </si>
  <si>
    <t>CHATAKA DHAMAKA (MASALA) - 10Rs</t>
  </si>
  <si>
    <t>CHATAKA DHAMAKA (TOMATO) - 10Rs</t>
  </si>
  <si>
    <t>SALTED POP CORN - 5Rs</t>
  </si>
  <si>
    <t>CHEESE POP CORN - 5Rs</t>
  </si>
  <si>
    <t>CHOCO BITES - 5Rs</t>
  </si>
  <si>
    <t>STRAWBERRY WAFER BISCUIT - 5Rs</t>
  </si>
  <si>
    <t>CHOCOLATE WAFER BISCUIT - 5Rs</t>
  </si>
  <si>
    <t>ORANGE WAFER BISCUIT - 5Rs</t>
  </si>
  <si>
    <t>KAJU BISCUIT - 5Rs</t>
  </si>
  <si>
    <t>SWEETROLL VANILLA - 10Rs</t>
  </si>
  <si>
    <t>SWEETROLL CHOCOLATE - 10Rs</t>
  </si>
  <si>
    <t>PANCHRATNA COOKIES - 85Rs</t>
  </si>
  <si>
    <t>JEERA COOKIES - 75Rs</t>
  </si>
  <si>
    <t>COCONUT ALMOND COOKIES - 120Rs</t>
  </si>
  <si>
    <t>PEANUT CHIKKI (12*40PCS) - 5Rs</t>
  </si>
  <si>
    <t>CRUSHED PEANUT CHIKKI (12*40PCS) - 5Rs</t>
  </si>
  <si>
    <t>SESAME CHIKKI (12*40PCS) - 5Rs</t>
  </si>
  <si>
    <t>PEANUT CHIKKI - 120Rs</t>
  </si>
  <si>
    <t>CRUSHED PEANUT CHIKKI  - 120Rs</t>
  </si>
  <si>
    <t>SESAME CHIKKI - 140Rs</t>
  </si>
  <si>
    <t>SOAN PAPDI - BOX PACK - 75Rs</t>
  </si>
  <si>
    <t>SOAN PAPDI - BOX PACK - 150Rs</t>
  </si>
  <si>
    <t>SOAN PAPDI - POUCH PACK - 75Rs</t>
  </si>
  <si>
    <t>SOAN PAPDI - POUCH PACK - 150Rs</t>
  </si>
  <si>
    <t>RASGULLA - 220Rs</t>
  </si>
  <si>
    <t>RASGULLA - 120Rs</t>
  </si>
  <si>
    <t>GULAB JAMUN - 240Rs</t>
  </si>
  <si>
    <t>GULAB JAMUN - 130Rs</t>
  </si>
  <si>
    <t>UDAD MARI PAPAD - 10Rs</t>
  </si>
  <si>
    <t>GARLIC GREEN CHILLI PAPAD - 10Rs</t>
  </si>
  <si>
    <t>QTY</t>
  </si>
  <si>
    <t>TAX INVOICE</t>
  </si>
  <si>
    <t>Anand Enterprises</t>
  </si>
  <si>
    <t>Address: Gala no 21, Usha Ind. Comp. Kaman, Bhiwandi Road,</t>
  </si>
  <si>
    <t>Behind Sagar Hotel, Vasai East, Vasai Tahashil, Palghar</t>
  </si>
  <si>
    <t>State: Maharashtra</t>
  </si>
  <si>
    <t>GST NO.:27AHFPD7794J1ZV,</t>
  </si>
  <si>
    <t>FSSAI NO. : 21525019002039</t>
  </si>
  <si>
    <t>Bill To : Patel Traders</t>
  </si>
  <si>
    <t>Owner Name : Bhanu Patel</t>
  </si>
  <si>
    <t>Address : Room no 4, Agrawal Chawl, Kurar Village Kokani Pada, Near Mauli Chhaya Building,</t>
  </si>
  <si>
    <t>Shantaram Talav, Kurar Police Station, Malad East, Mumbai - 400097.</t>
  </si>
  <si>
    <t>Place Of Supply: Maharashtra , FSSAI No : -</t>
  </si>
  <si>
    <r>
      <rPr>
        <sz val="9"/>
        <rFont val="Lucida Sans Unicode"/>
        <family val="2"/>
      </rPr>
      <t>Note :</t>
    </r>
  </si>
  <si>
    <r>
      <rPr>
        <sz val="9"/>
        <rFont val="Lucida Sans Unicode"/>
        <family val="2"/>
      </rPr>
      <t>1. Order By :</t>
    </r>
  </si>
  <si>
    <t>2. Goods Check Before Received :</t>
  </si>
  <si>
    <t>3. Subject to Jurisdiction : Palghar</t>
  </si>
  <si>
    <t>Qty</t>
  </si>
  <si>
    <t>Rate</t>
  </si>
  <si>
    <t>Sr. No.</t>
  </si>
  <si>
    <t>Amount</t>
  </si>
  <si>
    <t>TOTAL</t>
  </si>
  <si>
    <t>BILL NO. : RD010 /26-27                                                                                                                Date : 15-04-2026</t>
  </si>
  <si>
    <t>FARALI CHIWDA TIKHA - 50Rs</t>
  </si>
  <si>
    <t>FARALI CHIWDA MITHA - 50Rs</t>
  </si>
  <si>
    <t>KHATTA MITHA MIX - 50Rs</t>
  </si>
  <si>
    <t>BHAVNAGRI GANTHIYA - 50Rs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</si>
</sst>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5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 MT"/>
    </font>
    <font>
      <sz val="8"/>
      <name val="Arial MT"/>
      <family val="2"/>
    </font>
    <font>
      <sz val="8"/>
      <color rgb="FF000000"/>
      <name val="Arial MT"/>
      <family val="2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9"/>
      <name val="Arial"/>
      <family val="2"/>
    </font>
    <font>
      <b/>
      <sz val="10"/>
      <name val="Lucida Sans Unicode"/>
      <family val="2"/>
    </font>
    <font>
      <sz val="9"/>
      <name val="Lucida Sans Unicode"/>
      <family val="2"/>
    </font>
    <font>
      <sz val="9.5"/>
      <color rgb="FF000000"/>
      <name val="Calibri"/>
      <family val="2"/>
      <scheme val="minor"/>
    </font>
    <font>
      <sz val="10"/>
      <color rgb="FF000000"/>
      <name val="Arial MT"/>
      <family val="2"/>
    </font>
    <font>
      <sz val="10"/>
      <color rgb="FF000000"/>
      <name val="Lucida Sans Unicode"/>
      <family val="2"/>
    </font>
    <font>
      <sz val="10"/>
      <color rgb="FFFF0000"/>
      <name val="Arial MT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FE499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center" wrapText="1" indent="5"/>
    </xf>
    <xf numFmtId="1" fontId="6" fillId="0" borderId="1" xfId="0" applyNumberFormat="1" applyFont="1" applyFill="1" applyBorder="1" applyAlignment="1">
      <alignment vertical="center" shrinkToFit="1"/>
    </xf>
    <xf numFmtId="0" fontId="7" fillId="0" borderId="2" xfId="0" applyFont="1" applyFill="1" applyBorder="1" applyAlignment="1">
      <alignment vertical="center" wrapText="1"/>
    </xf>
    <xf numFmtId="1" fontId="6" fillId="0" borderId="5" xfId="0" applyNumberFormat="1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/>
    </xf>
    <xf numFmtId="1" fontId="6" fillId="0" borderId="6" xfId="0" applyNumberFormat="1" applyFont="1" applyFill="1" applyBorder="1" applyAlignment="1">
      <alignment vertical="center" shrinkToFit="1"/>
    </xf>
    <xf numFmtId="0" fontId="7" fillId="0" borderId="8" xfId="0" applyFont="1" applyFill="1" applyBorder="1" applyAlignment="1">
      <alignment vertical="center" wrapText="1"/>
    </xf>
    <xf numFmtId="1" fontId="9" fillId="0" borderId="3" xfId="0" applyNumberFormat="1" applyFont="1" applyFill="1" applyBorder="1" applyAlignment="1">
      <alignment horizontal="center" vertical="center" shrinkToFit="1"/>
    </xf>
    <xf numFmtId="1" fontId="9" fillId="0" borderId="9" xfId="0" applyNumberFormat="1" applyFont="1" applyFill="1" applyBorder="1" applyAlignment="1">
      <alignment horizontal="center" vertical="center" shrinkToFit="1"/>
    </xf>
    <xf numFmtId="0" fontId="11" fillId="0" borderId="10" xfId="0" applyFont="1" applyFill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Fill="1" applyBorder="1" applyAlignment="1">
      <alignment horizontal="center" vertical="center" shrinkToFit="1"/>
    </xf>
    <xf numFmtId="2" fontId="9" fillId="0" borderId="1" xfId="0" applyNumberFormat="1" applyFont="1" applyFill="1" applyBorder="1" applyAlignment="1">
      <alignment horizontal="center" vertical="center" shrinkToFit="1"/>
    </xf>
    <xf numFmtId="1" fontId="9" fillId="0" borderId="5" xfId="0" applyNumberFormat="1" applyFont="1" applyFill="1" applyBorder="1" applyAlignment="1">
      <alignment horizontal="center" vertical="center" shrinkToFit="1"/>
    </xf>
    <xf numFmtId="2" fontId="9" fillId="0" borderId="5" xfId="0" applyNumberFormat="1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 shrinkToFit="1"/>
    </xf>
    <xf numFmtId="2" fontId="9" fillId="0" borderId="6" xfId="0" applyNumberFormat="1" applyFont="1" applyFill="1" applyBorder="1" applyAlignment="1">
      <alignment horizontal="center" vertical="center" shrinkToFit="1"/>
    </xf>
    <xf numFmtId="0" fontId="1" fillId="0" borderId="0" xfId="2" applyFill="1" applyBorder="1" applyAlignment="1">
      <alignment horizontal="left" vertical="top"/>
    </xf>
    <xf numFmtId="0" fontId="14" fillId="0" borderId="0" xfId="2" applyFont="1" applyFill="1" applyBorder="1" applyAlignment="1">
      <alignment horizontal="left" vertical="top"/>
    </xf>
    <xf numFmtId="0" fontId="15" fillId="3" borderId="4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left" vertical="top"/>
    </xf>
    <xf numFmtId="0" fontId="3" fillId="0" borderId="0" xfId="2" applyFont="1" applyFill="1" applyBorder="1" applyAlignment="1">
      <alignment horizontal="left" vertical="center"/>
    </xf>
    <xf numFmtId="0" fontId="18" fillId="0" borderId="4" xfId="0" applyFont="1" applyFill="1" applyBorder="1" applyAlignment="1">
      <alignment vertical="center"/>
    </xf>
    <xf numFmtId="2" fontId="19" fillId="0" borderId="4" xfId="2" applyNumberFormat="1" applyFont="1" applyFill="1" applyBorder="1" applyAlignment="1">
      <alignment vertical="center" shrinkToFit="1"/>
    </xf>
    <xf numFmtId="0" fontId="10" fillId="0" borderId="4" xfId="0" applyFont="1" applyFill="1" applyBorder="1" applyAlignment="1">
      <alignment vertical="center"/>
    </xf>
    <xf numFmtId="1" fontId="20" fillId="0" borderId="4" xfId="2" applyNumberFormat="1" applyFont="1" applyFill="1" applyBorder="1" applyAlignment="1">
      <alignment horizontal="left" vertical="center" shrinkToFit="1"/>
    </xf>
    <xf numFmtId="1" fontId="21" fillId="0" borderId="4" xfId="2" applyNumberFormat="1" applyFont="1" applyFill="1" applyBorder="1" applyAlignment="1">
      <alignment horizontal="center" vertical="center" shrinkToFit="1"/>
    </xf>
    <xf numFmtId="1" fontId="22" fillId="0" borderId="6" xfId="2" applyNumberFormat="1" applyFont="1" applyFill="1" applyBorder="1" applyAlignment="1">
      <alignment vertical="center" shrinkToFit="1"/>
    </xf>
    <xf numFmtId="0" fontId="23" fillId="0" borderId="8" xfId="2" applyFont="1" applyFill="1" applyBorder="1" applyAlignment="1">
      <alignment vertical="center" wrapText="1"/>
    </xf>
    <xf numFmtId="1" fontId="23" fillId="0" borderId="4" xfId="2" applyNumberFormat="1" applyFont="1" applyFill="1" applyBorder="1" applyAlignment="1">
      <alignment horizontal="center" vertical="center" shrinkToFit="1"/>
    </xf>
    <xf numFmtId="2" fontId="10" fillId="0" borderId="4" xfId="2" applyNumberFormat="1" applyFont="1" applyFill="1" applyBorder="1" applyAlignment="1">
      <alignment vertical="center" shrinkToFit="1"/>
    </xf>
    <xf numFmtId="1" fontId="22" fillId="0" borderId="1" xfId="2" applyNumberFormat="1" applyFont="1" applyFill="1" applyBorder="1" applyAlignment="1">
      <alignment vertical="center" shrinkToFit="1"/>
    </xf>
    <xf numFmtId="0" fontId="23" fillId="0" borderId="1" xfId="2" applyFont="1" applyFill="1" applyBorder="1" applyAlignment="1">
      <alignment vertical="center" wrapText="1"/>
    </xf>
    <xf numFmtId="1" fontId="24" fillId="0" borderId="4" xfId="2" applyNumberFormat="1" applyFont="1" applyFill="1" applyBorder="1" applyAlignment="1">
      <alignment horizontal="right" shrinkToFit="1"/>
    </xf>
    <xf numFmtId="43" fontId="22" fillId="0" borderId="13" xfId="2" applyNumberFormat="1" applyFont="1" applyFill="1" applyBorder="1" applyAlignment="1">
      <alignment horizontal="center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10" fillId="0" borderId="15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16" xfId="2" applyFont="1" applyFill="1" applyBorder="1" applyAlignment="1">
      <alignment horizontal="center" vertical="center"/>
    </xf>
    <xf numFmtId="0" fontId="12" fillId="0" borderId="12" xfId="2" applyFont="1" applyFill="1" applyBorder="1" applyAlignment="1">
      <alignment horizontal="center" vertical="top" wrapText="1"/>
    </xf>
    <xf numFmtId="0" fontId="12" fillId="0" borderId="13" xfId="2" applyFont="1" applyFill="1" applyBorder="1" applyAlignment="1">
      <alignment horizontal="center" vertical="top" wrapText="1"/>
    </xf>
    <xf numFmtId="0" fontId="12" fillId="0" borderId="14" xfId="2" applyFont="1" applyFill="1" applyBorder="1" applyAlignment="1">
      <alignment horizontal="center" vertical="top" wrapText="1"/>
    </xf>
    <xf numFmtId="0" fontId="12" fillId="0" borderId="12" xfId="2" applyFont="1" applyFill="1" applyBorder="1" applyAlignment="1">
      <alignment horizontal="left" vertical="center" wrapText="1"/>
    </xf>
    <xf numFmtId="0" fontId="12" fillId="0" borderId="13" xfId="2" applyFont="1" applyFill="1" applyBorder="1" applyAlignment="1">
      <alignment horizontal="left" vertical="center" wrapText="1"/>
    </xf>
    <xf numFmtId="0" fontId="1" fillId="0" borderId="13" xfId="2" applyFill="1" applyBorder="1" applyAlignment="1">
      <alignment horizontal="center" vertical="top"/>
    </xf>
    <xf numFmtId="0" fontId="1" fillId="0" borderId="14" xfId="2" applyFill="1" applyBorder="1" applyAlignment="1">
      <alignment horizontal="center" vertical="top"/>
    </xf>
    <xf numFmtId="0" fontId="1" fillId="0" borderId="0" xfId="2" applyFill="1" applyBorder="1" applyAlignment="1">
      <alignment horizontal="center" vertical="top"/>
    </xf>
    <xf numFmtId="0" fontId="1" fillId="0" borderId="16" xfId="2" applyFill="1" applyBorder="1" applyAlignment="1">
      <alignment horizontal="center" vertical="top"/>
    </xf>
    <xf numFmtId="0" fontId="1" fillId="0" borderId="18" xfId="2" applyFill="1" applyBorder="1" applyAlignment="1">
      <alignment horizontal="center" vertical="top"/>
    </xf>
    <xf numFmtId="0" fontId="1" fillId="0" borderId="19" xfId="2" applyFill="1" applyBorder="1" applyAlignment="1">
      <alignment horizontal="center" vertical="top"/>
    </xf>
    <xf numFmtId="0" fontId="13" fillId="0" borderId="15" xfId="2" applyFont="1" applyFill="1" applyBorder="1" applyAlignment="1">
      <alignment horizontal="left" vertical="center" wrapText="1"/>
    </xf>
    <xf numFmtId="0" fontId="13" fillId="0" borderId="0" xfId="2" applyFont="1" applyFill="1" applyBorder="1" applyAlignment="1">
      <alignment horizontal="left" vertical="center" wrapText="1"/>
    </xf>
    <xf numFmtId="0" fontId="13" fillId="0" borderId="17" xfId="2" applyFont="1" applyFill="1" applyBorder="1" applyAlignment="1">
      <alignment horizontal="left" vertical="center" wrapText="1"/>
    </xf>
    <xf numFmtId="0" fontId="13" fillId="0" borderId="18" xfId="2" applyFont="1" applyFill="1" applyBorder="1" applyAlignment="1">
      <alignment horizontal="left" vertical="center" wrapText="1"/>
    </xf>
    <xf numFmtId="0" fontId="13" fillId="0" borderId="20" xfId="2" applyFont="1" applyFill="1" applyBorder="1" applyAlignment="1">
      <alignment horizontal="left" vertical="center" wrapText="1"/>
    </xf>
    <xf numFmtId="0" fontId="13" fillId="0" borderId="21" xfId="2" applyFont="1" applyFill="1" applyBorder="1" applyAlignment="1">
      <alignment horizontal="left" vertical="center" wrapText="1"/>
    </xf>
    <xf numFmtId="0" fontId="14" fillId="0" borderId="22" xfId="2" applyFont="1" applyFill="1" applyBorder="1" applyAlignment="1">
      <alignment horizontal="left" vertical="center"/>
    </xf>
    <xf numFmtId="0" fontId="14" fillId="0" borderId="23" xfId="2" applyFont="1" applyFill="1" applyBorder="1" applyAlignment="1">
      <alignment horizontal="left" vertical="center"/>
    </xf>
    <xf numFmtId="0" fontId="14" fillId="0" borderId="24" xfId="2" applyFont="1" applyFill="1" applyBorder="1" applyAlignment="1">
      <alignment horizontal="left" vertical="center"/>
    </xf>
    <xf numFmtId="43" fontId="10" fillId="0" borderId="4" xfId="1" applyFont="1" applyFill="1" applyBorder="1" applyAlignment="1">
      <alignment horizontal="center" vertical="center" wrapText="1"/>
    </xf>
    <xf numFmtId="0" fontId="16" fillId="3" borderId="4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left" vertical="center" wrapText="1"/>
    </xf>
    <xf numFmtId="43" fontId="22" fillId="0" borderId="4" xfId="2" applyNumberFormat="1" applyFont="1" applyFill="1" applyBorder="1" applyAlignment="1">
      <alignment horizontal="center" vertical="center" wrapText="1"/>
    </xf>
    <xf numFmtId="0" fontId="22" fillId="0" borderId="4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</xdr:row>
      <xdr:rowOff>114300</xdr:rowOff>
    </xdr:from>
    <xdr:to>
      <xdr:col>5</xdr:col>
      <xdr:colOff>686677</xdr:colOff>
      <xdr:row>6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860" y="342900"/>
          <a:ext cx="1418197" cy="1089660"/>
        </a:xfrm>
        <a:prstGeom prst="rect">
          <a:avLst/>
        </a:prstGeom>
      </xdr:spPr>
    </xdr:pic>
    <xdr:clientData/>
  </xdr:twoCellAnchor>
  <xdr:twoCellAnchor editAs="oneCell">
    <xdr:from>
      <xdr:col>4</xdr:col>
      <xdr:colOff>426720</xdr:colOff>
      <xdr:row>37</xdr:row>
      <xdr:rowOff>0</xdr:rowOff>
    </xdr:from>
    <xdr:to>
      <xdr:col>5</xdr:col>
      <xdr:colOff>419100</xdr:colOff>
      <xdr:row>39</xdr:row>
      <xdr:rowOff>7620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980" y="7673340"/>
          <a:ext cx="95250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tabSelected="1" workbookViewId="0">
      <selection activeCell="G19" sqref="G19"/>
    </sheetView>
  </sheetViews>
  <sheetFormatPr defaultRowHeight="11.4" customHeight="1"/>
  <cols>
    <col min="1" max="1" width="5.33203125" customWidth="1"/>
    <col min="2" max="2" width="14" customWidth="1"/>
    <col min="3" max="3" width="33.88671875" customWidth="1"/>
    <col min="4" max="4" width="8.88671875" customWidth="1"/>
    <col min="5" max="5" width="6.88671875" customWidth="1"/>
    <col min="6" max="6" width="7.77734375" customWidth="1"/>
    <col min="7" max="7" width="11.33203125" customWidth="1"/>
    <col min="8" max="8" width="9.33203125" customWidth="1"/>
  </cols>
  <sheetData>
    <row r="1" spans="1:12" ht="22.8" customHeight="1">
      <c r="A1" s="1" t="s">
        <v>6</v>
      </c>
      <c r="B1" s="2" t="s">
        <v>0</v>
      </c>
      <c r="C1" s="6" t="s">
        <v>1</v>
      </c>
      <c r="D1" s="3" t="s">
        <v>2</v>
      </c>
      <c r="E1" s="3" t="s">
        <v>184</v>
      </c>
      <c r="F1" s="3" t="s">
        <v>3</v>
      </c>
      <c r="G1" s="4" t="s">
        <v>4</v>
      </c>
      <c r="H1" s="4" t="s">
        <v>5</v>
      </c>
    </row>
    <row r="2" spans="1:12" ht="11.4" customHeight="1">
      <c r="A2" s="7">
        <v>1</v>
      </c>
      <c r="B2" s="8" t="s">
        <v>7</v>
      </c>
      <c r="C2" s="31" t="s">
        <v>17</v>
      </c>
      <c r="D2" s="14">
        <v>21069099</v>
      </c>
      <c r="E2" s="18"/>
      <c r="F2" s="18">
        <v>180</v>
      </c>
      <c r="G2" s="19">
        <v>666.67</v>
      </c>
      <c r="H2" s="19">
        <v>720</v>
      </c>
      <c r="L2" s="5"/>
    </row>
    <row r="3" spans="1:12" ht="12.6" customHeight="1">
      <c r="A3" s="7">
        <v>2</v>
      </c>
      <c r="B3" s="8" t="s">
        <v>7</v>
      </c>
      <c r="C3" s="31" t="s">
        <v>18</v>
      </c>
      <c r="D3" s="14">
        <v>21069099</v>
      </c>
      <c r="E3" s="18"/>
      <c r="F3" s="18">
        <v>180</v>
      </c>
      <c r="G3" s="19">
        <v>666.67</v>
      </c>
      <c r="H3" s="19">
        <v>720</v>
      </c>
      <c r="L3" s="5"/>
    </row>
    <row r="4" spans="1:12" ht="12.6" customHeight="1">
      <c r="A4" s="7">
        <v>3</v>
      </c>
      <c r="B4" s="8" t="s">
        <v>7</v>
      </c>
      <c r="C4" s="31" t="s">
        <v>19</v>
      </c>
      <c r="D4" s="14">
        <v>21069099</v>
      </c>
      <c r="E4" s="18"/>
      <c r="F4" s="18">
        <v>180</v>
      </c>
      <c r="G4" s="19">
        <v>666.67</v>
      </c>
      <c r="H4" s="19">
        <v>720</v>
      </c>
      <c r="L4" s="5"/>
    </row>
    <row r="5" spans="1:12" ht="12.6" customHeight="1">
      <c r="A5" s="7">
        <v>4</v>
      </c>
      <c r="B5" s="8" t="s">
        <v>7</v>
      </c>
      <c r="C5" s="31" t="s">
        <v>20</v>
      </c>
      <c r="D5" s="14">
        <v>21069099</v>
      </c>
      <c r="E5" s="18"/>
      <c r="F5" s="18">
        <v>180</v>
      </c>
      <c r="G5" s="19">
        <v>666.67</v>
      </c>
      <c r="H5" s="19">
        <v>720</v>
      </c>
      <c r="L5" s="5"/>
    </row>
    <row r="6" spans="1:12" ht="12.6" customHeight="1">
      <c r="A6" s="7">
        <v>5</v>
      </c>
      <c r="B6" s="8" t="s">
        <v>7</v>
      </c>
      <c r="C6" s="31" t="s">
        <v>21</v>
      </c>
      <c r="D6" s="14">
        <v>21069099</v>
      </c>
      <c r="E6" s="18"/>
      <c r="F6" s="18">
        <v>180</v>
      </c>
      <c r="G6" s="19">
        <v>666.67</v>
      </c>
      <c r="H6" s="19">
        <v>720</v>
      </c>
      <c r="L6" s="5"/>
    </row>
    <row r="7" spans="1:12" ht="12.6" customHeight="1">
      <c r="A7" s="7">
        <v>6</v>
      </c>
      <c r="B7" s="8" t="s">
        <v>7</v>
      </c>
      <c r="C7" s="31" t="s">
        <v>22</v>
      </c>
      <c r="D7" s="14">
        <v>21069099</v>
      </c>
      <c r="E7" s="18"/>
      <c r="F7" s="18">
        <v>240</v>
      </c>
      <c r="G7" s="19">
        <v>888.89</v>
      </c>
      <c r="H7" s="19">
        <v>960</v>
      </c>
      <c r="L7" s="5"/>
    </row>
    <row r="8" spans="1:12" ht="12.6" customHeight="1">
      <c r="A8" s="7">
        <v>7</v>
      </c>
      <c r="B8" s="8" t="s">
        <v>7</v>
      </c>
      <c r="C8" s="31" t="s">
        <v>23</v>
      </c>
      <c r="D8" s="14">
        <v>21069099</v>
      </c>
      <c r="E8" s="18"/>
      <c r="F8" s="18">
        <v>180</v>
      </c>
      <c r="G8" s="19">
        <v>666.67</v>
      </c>
      <c r="H8" s="19">
        <v>720</v>
      </c>
      <c r="L8" s="5"/>
    </row>
    <row r="9" spans="1:12" ht="12.6" customHeight="1">
      <c r="A9" s="7">
        <v>8</v>
      </c>
      <c r="B9" s="8" t="s">
        <v>7</v>
      </c>
      <c r="C9" s="31" t="s">
        <v>24</v>
      </c>
      <c r="D9" s="14">
        <v>21069099</v>
      </c>
      <c r="E9" s="18"/>
      <c r="F9" s="18">
        <v>180</v>
      </c>
      <c r="G9" s="19">
        <v>666.67</v>
      </c>
      <c r="H9" s="19">
        <v>720</v>
      </c>
      <c r="L9" s="5"/>
    </row>
    <row r="10" spans="1:12" ht="12.6" customHeight="1">
      <c r="A10" s="7">
        <v>9</v>
      </c>
      <c r="B10" s="8" t="s">
        <v>7</v>
      </c>
      <c r="C10" s="31" t="s">
        <v>25</v>
      </c>
      <c r="D10" s="14">
        <v>21069099</v>
      </c>
      <c r="E10" s="18"/>
      <c r="F10" s="18">
        <v>180</v>
      </c>
      <c r="G10" s="19">
        <v>666.67</v>
      </c>
      <c r="H10" s="19">
        <v>720</v>
      </c>
      <c r="L10" s="5"/>
    </row>
    <row r="11" spans="1:12" ht="12.6" customHeight="1">
      <c r="A11" s="7">
        <v>10</v>
      </c>
      <c r="B11" s="8" t="s">
        <v>7</v>
      </c>
      <c r="C11" s="31" t="s">
        <v>26</v>
      </c>
      <c r="D11" s="14">
        <v>21069099</v>
      </c>
      <c r="E11" s="18"/>
      <c r="F11" s="18">
        <v>180</v>
      </c>
      <c r="G11" s="19">
        <v>666.67</v>
      </c>
      <c r="H11" s="19">
        <v>720</v>
      </c>
      <c r="L11" s="5"/>
    </row>
    <row r="12" spans="1:12" ht="12.6" customHeight="1">
      <c r="A12" s="7">
        <v>11</v>
      </c>
      <c r="B12" s="8" t="s">
        <v>7</v>
      </c>
      <c r="C12" s="31" t="s">
        <v>27</v>
      </c>
      <c r="D12" s="14">
        <v>21069099</v>
      </c>
      <c r="E12" s="18"/>
      <c r="F12" s="18">
        <v>180</v>
      </c>
      <c r="G12" s="19">
        <v>666.67</v>
      </c>
      <c r="H12" s="19">
        <v>720</v>
      </c>
      <c r="L12" s="5"/>
    </row>
    <row r="13" spans="1:12" ht="12.6" customHeight="1">
      <c r="A13" s="7">
        <v>12</v>
      </c>
      <c r="B13" s="8" t="s">
        <v>7</v>
      </c>
      <c r="C13" s="31" t="s">
        <v>28</v>
      </c>
      <c r="D13" s="14">
        <v>21069099</v>
      </c>
      <c r="E13" s="18"/>
      <c r="F13" s="18">
        <v>240</v>
      </c>
      <c r="G13" s="19">
        <v>888.89</v>
      </c>
      <c r="H13" s="19">
        <v>960</v>
      </c>
      <c r="L13" s="5"/>
    </row>
    <row r="14" spans="1:12" ht="12.6" customHeight="1">
      <c r="A14" s="7">
        <v>13</v>
      </c>
      <c r="B14" s="8" t="s">
        <v>7</v>
      </c>
      <c r="C14" s="31" t="s">
        <v>29</v>
      </c>
      <c r="D14" s="14">
        <v>21069099</v>
      </c>
      <c r="E14" s="18"/>
      <c r="F14" s="18">
        <v>180</v>
      </c>
      <c r="G14" s="19">
        <v>666.67</v>
      </c>
      <c r="H14" s="19">
        <v>720</v>
      </c>
      <c r="L14" s="5"/>
    </row>
    <row r="15" spans="1:12" ht="12.6" customHeight="1">
      <c r="A15" s="7">
        <v>14</v>
      </c>
      <c r="B15" s="8" t="s">
        <v>7</v>
      </c>
      <c r="C15" s="31" t="s">
        <v>30</v>
      </c>
      <c r="D15" s="14">
        <v>21069099</v>
      </c>
      <c r="E15" s="18"/>
      <c r="F15" s="18">
        <v>180</v>
      </c>
      <c r="G15" s="19">
        <v>666.67</v>
      </c>
      <c r="H15" s="19">
        <v>720</v>
      </c>
      <c r="L15" s="5"/>
    </row>
    <row r="16" spans="1:12" ht="12.6" customHeight="1">
      <c r="A16" s="7">
        <v>15</v>
      </c>
      <c r="B16" s="8" t="s">
        <v>7</v>
      </c>
      <c r="C16" s="31" t="s">
        <v>31</v>
      </c>
      <c r="D16" s="14">
        <v>21069099</v>
      </c>
      <c r="E16" s="18"/>
      <c r="F16" s="18">
        <v>180</v>
      </c>
      <c r="G16" s="19">
        <v>666.67</v>
      </c>
      <c r="H16" s="19">
        <v>720</v>
      </c>
      <c r="L16" s="5"/>
    </row>
    <row r="17" spans="1:12" ht="12.6" customHeight="1">
      <c r="A17" s="7">
        <v>16</v>
      </c>
      <c r="B17" s="8" t="s">
        <v>7</v>
      </c>
      <c r="C17" s="31" t="s">
        <v>32</v>
      </c>
      <c r="D17" s="14">
        <v>21069099</v>
      </c>
      <c r="E17" s="18"/>
      <c r="F17" s="18">
        <v>240</v>
      </c>
      <c r="G17" s="19">
        <v>888.89</v>
      </c>
      <c r="H17" s="19">
        <v>960</v>
      </c>
      <c r="L17" s="5"/>
    </row>
    <row r="18" spans="1:12" ht="12.6" customHeight="1">
      <c r="A18" s="7">
        <v>17</v>
      </c>
      <c r="B18" s="8" t="s">
        <v>7</v>
      </c>
      <c r="C18" s="31" t="s">
        <v>33</v>
      </c>
      <c r="D18" s="14">
        <v>21069099</v>
      </c>
      <c r="E18" s="18"/>
      <c r="F18" s="18">
        <v>240</v>
      </c>
      <c r="G18" s="19">
        <v>888.89</v>
      </c>
      <c r="H18" s="19">
        <v>960</v>
      </c>
      <c r="L18" s="5"/>
    </row>
    <row r="19" spans="1:12" ht="12.6" customHeight="1">
      <c r="A19" s="7">
        <v>18</v>
      </c>
      <c r="B19" s="8" t="s">
        <v>7</v>
      </c>
      <c r="C19" s="31" t="s">
        <v>34</v>
      </c>
      <c r="D19" s="14">
        <v>21069099</v>
      </c>
      <c r="E19" s="18"/>
      <c r="F19" s="18">
        <v>240</v>
      </c>
      <c r="G19" s="19">
        <v>888.89</v>
      </c>
      <c r="H19" s="19">
        <v>960</v>
      </c>
      <c r="L19" s="5"/>
    </row>
    <row r="20" spans="1:12" ht="12.6" customHeight="1">
      <c r="A20" s="7">
        <v>19</v>
      </c>
      <c r="B20" s="8" t="s">
        <v>7</v>
      </c>
      <c r="C20" s="31" t="s">
        <v>35</v>
      </c>
      <c r="D20" s="14">
        <v>21069099</v>
      </c>
      <c r="E20" s="18"/>
      <c r="F20" s="18">
        <v>240</v>
      </c>
      <c r="G20" s="19">
        <v>888.89</v>
      </c>
      <c r="H20" s="19">
        <v>960</v>
      </c>
      <c r="L20" s="5"/>
    </row>
    <row r="21" spans="1:12" ht="12.6" customHeight="1">
      <c r="A21" s="7">
        <v>20</v>
      </c>
      <c r="B21" s="8" t="s">
        <v>7</v>
      </c>
      <c r="C21" s="31" t="s">
        <v>36</v>
      </c>
      <c r="D21" s="14">
        <v>21069099</v>
      </c>
      <c r="E21" s="18"/>
      <c r="F21" s="18">
        <v>240</v>
      </c>
      <c r="G21" s="19">
        <v>888.89</v>
      </c>
      <c r="H21" s="19">
        <v>960</v>
      </c>
      <c r="L21" s="5"/>
    </row>
    <row r="22" spans="1:12" ht="12.6" customHeight="1">
      <c r="A22" s="7">
        <v>21</v>
      </c>
      <c r="B22" s="8" t="s">
        <v>7</v>
      </c>
      <c r="C22" s="31" t="s">
        <v>37</v>
      </c>
      <c r="D22" s="14">
        <v>21069099</v>
      </c>
      <c r="E22" s="18"/>
      <c r="F22" s="18">
        <v>240</v>
      </c>
      <c r="G22" s="19">
        <v>888.89</v>
      </c>
      <c r="H22" s="19">
        <v>960</v>
      </c>
      <c r="L22" s="5"/>
    </row>
    <row r="23" spans="1:12" ht="12.6" customHeight="1">
      <c r="A23" s="7">
        <v>22</v>
      </c>
      <c r="B23" s="8" t="s">
        <v>7</v>
      </c>
      <c r="C23" s="31" t="s">
        <v>38</v>
      </c>
      <c r="D23" s="14">
        <v>21069099</v>
      </c>
      <c r="E23" s="18"/>
      <c r="F23" s="18">
        <v>240</v>
      </c>
      <c r="G23" s="19">
        <v>888.89</v>
      </c>
      <c r="H23" s="19">
        <v>960</v>
      </c>
      <c r="L23" s="5"/>
    </row>
    <row r="24" spans="1:12" ht="12.6" customHeight="1">
      <c r="A24" s="7">
        <v>23</v>
      </c>
      <c r="B24" s="8" t="s">
        <v>7</v>
      </c>
      <c r="C24" s="31" t="s">
        <v>39</v>
      </c>
      <c r="D24" s="14">
        <v>21069099</v>
      </c>
      <c r="E24" s="18"/>
      <c r="F24" s="18">
        <v>180</v>
      </c>
      <c r="G24" s="19">
        <v>666.67</v>
      </c>
      <c r="H24" s="19">
        <v>720</v>
      </c>
      <c r="L24" s="5"/>
    </row>
    <row r="25" spans="1:12" ht="12.6" customHeight="1">
      <c r="A25" s="7">
        <v>24</v>
      </c>
      <c r="B25" s="8" t="s">
        <v>7</v>
      </c>
      <c r="C25" s="31" t="s">
        <v>40</v>
      </c>
      <c r="D25" s="14">
        <v>21069099</v>
      </c>
      <c r="E25" s="18"/>
      <c r="F25" s="18">
        <v>240</v>
      </c>
      <c r="G25" s="19">
        <v>888.89</v>
      </c>
      <c r="H25" s="19">
        <v>960</v>
      </c>
      <c r="L25" s="5"/>
    </row>
    <row r="26" spans="1:12" ht="12.6" customHeight="1">
      <c r="A26" s="7">
        <v>25</v>
      </c>
      <c r="B26" s="8" t="s">
        <v>7</v>
      </c>
      <c r="C26" s="31" t="s">
        <v>41</v>
      </c>
      <c r="D26" s="14">
        <v>21069099</v>
      </c>
      <c r="E26" s="18"/>
      <c r="F26" s="18">
        <v>180</v>
      </c>
      <c r="G26" s="19">
        <v>666.67</v>
      </c>
      <c r="H26" s="19">
        <v>720</v>
      </c>
      <c r="L26" s="5"/>
    </row>
    <row r="27" spans="1:12" ht="12.6" customHeight="1">
      <c r="A27" s="7">
        <v>26</v>
      </c>
      <c r="B27" s="8" t="s">
        <v>7</v>
      </c>
      <c r="C27" s="31" t="s">
        <v>42</v>
      </c>
      <c r="D27" s="14">
        <v>21069099</v>
      </c>
      <c r="E27" s="18"/>
      <c r="F27" s="18">
        <v>180</v>
      </c>
      <c r="G27" s="19">
        <v>666.67</v>
      </c>
      <c r="H27" s="19">
        <v>720</v>
      </c>
      <c r="L27" s="5"/>
    </row>
    <row r="28" spans="1:12" ht="12.6" customHeight="1">
      <c r="A28" s="7">
        <v>27</v>
      </c>
      <c r="B28" s="8" t="s">
        <v>7</v>
      </c>
      <c r="C28" s="31" t="s">
        <v>43</v>
      </c>
      <c r="D28" s="14">
        <v>21069099</v>
      </c>
      <c r="E28" s="18"/>
      <c r="F28" s="18">
        <v>180</v>
      </c>
      <c r="G28" s="19">
        <v>666.67</v>
      </c>
      <c r="H28" s="19">
        <v>720</v>
      </c>
      <c r="L28" s="5"/>
    </row>
    <row r="29" spans="1:12" ht="12.6" customHeight="1">
      <c r="A29" s="7">
        <v>28</v>
      </c>
      <c r="B29" s="8" t="s">
        <v>7</v>
      </c>
      <c r="C29" s="31" t="s">
        <v>44</v>
      </c>
      <c r="D29" s="14">
        <v>21069099</v>
      </c>
      <c r="E29" s="18"/>
      <c r="F29" s="18">
        <v>180</v>
      </c>
      <c r="G29" s="19">
        <v>666.67</v>
      </c>
      <c r="H29" s="19">
        <v>720</v>
      </c>
      <c r="L29" s="5"/>
    </row>
    <row r="30" spans="1:12" ht="12.6" customHeight="1">
      <c r="A30" s="7">
        <v>29</v>
      </c>
      <c r="B30" s="8" t="s">
        <v>7</v>
      </c>
      <c r="C30" s="31" t="s">
        <v>45</v>
      </c>
      <c r="D30" s="14">
        <v>21069099</v>
      </c>
      <c r="E30" s="18"/>
      <c r="F30" s="18">
        <v>180</v>
      </c>
      <c r="G30" s="19">
        <v>666.67</v>
      </c>
      <c r="H30" s="19">
        <v>720</v>
      </c>
      <c r="L30" s="5"/>
    </row>
    <row r="31" spans="1:12" ht="12.6" customHeight="1">
      <c r="A31" s="7">
        <v>30</v>
      </c>
      <c r="B31" s="8" t="s">
        <v>7</v>
      </c>
      <c r="C31" s="31" t="s">
        <v>46</v>
      </c>
      <c r="D31" s="14">
        <v>21069099</v>
      </c>
      <c r="E31" s="18"/>
      <c r="F31" s="18">
        <v>180</v>
      </c>
      <c r="G31" s="19">
        <v>666.67</v>
      </c>
      <c r="H31" s="19">
        <v>720</v>
      </c>
      <c r="L31" s="5"/>
    </row>
    <row r="32" spans="1:12" ht="12.6" customHeight="1">
      <c r="A32" s="7">
        <v>31</v>
      </c>
      <c r="B32" s="8" t="s">
        <v>7</v>
      </c>
      <c r="C32" s="31" t="s">
        <v>47</v>
      </c>
      <c r="D32" s="14">
        <v>21069099</v>
      </c>
      <c r="E32" s="18"/>
      <c r="F32" s="18">
        <v>180</v>
      </c>
      <c r="G32" s="19">
        <v>666.67</v>
      </c>
      <c r="H32" s="19">
        <v>720</v>
      </c>
      <c r="L32" s="5"/>
    </row>
    <row r="33" spans="1:12" ht="12.6" customHeight="1">
      <c r="A33" s="7">
        <v>32</v>
      </c>
      <c r="B33" s="8" t="s">
        <v>7</v>
      </c>
      <c r="C33" s="31" t="s">
        <v>48</v>
      </c>
      <c r="D33" s="14">
        <v>21069099</v>
      </c>
      <c r="E33" s="18"/>
      <c r="F33" s="18">
        <v>180</v>
      </c>
      <c r="G33" s="19">
        <v>666.67</v>
      </c>
      <c r="H33" s="19">
        <v>720</v>
      </c>
      <c r="L33" s="5"/>
    </row>
    <row r="34" spans="1:12" ht="12.6" customHeight="1">
      <c r="A34" s="7">
        <v>33</v>
      </c>
      <c r="B34" s="8" t="s">
        <v>7</v>
      </c>
      <c r="C34" s="31" t="s">
        <v>49</v>
      </c>
      <c r="D34" s="14">
        <v>21069099</v>
      </c>
      <c r="E34" s="18"/>
      <c r="F34" s="18">
        <v>120</v>
      </c>
      <c r="G34" s="19">
        <v>877.65</v>
      </c>
      <c r="H34" s="19">
        <v>947.87</v>
      </c>
      <c r="L34" s="5"/>
    </row>
    <row r="35" spans="1:12" ht="12.6" customHeight="1">
      <c r="A35" s="7">
        <v>34</v>
      </c>
      <c r="B35" s="8" t="s">
        <v>7</v>
      </c>
      <c r="C35" s="31" t="s">
        <v>50</v>
      </c>
      <c r="D35" s="14">
        <v>21069099</v>
      </c>
      <c r="E35" s="18"/>
      <c r="F35" s="18">
        <v>120</v>
      </c>
      <c r="G35" s="19">
        <v>877.65</v>
      </c>
      <c r="H35" s="19">
        <v>947.87</v>
      </c>
      <c r="L35" s="5"/>
    </row>
    <row r="36" spans="1:12" ht="12.6" customHeight="1">
      <c r="A36" s="7">
        <v>35</v>
      </c>
      <c r="B36" s="8" t="s">
        <v>7</v>
      </c>
      <c r="C36" s="31" t="s">
        <v>51</v>
      </c>
      <c r="D36" s="14">
        <v>21069099</v>
      </c>
      <c r="E36" s="18"/>
      <c r="F36" s="18">
        <v>120</v>
      </c>
      <c r="G36" s="19">
        <v>877.65</v>
      </c>
      <c r="H36" s="19">
        <v>947.87</v>
      </c>
      <c r="L36" s="5"/>
    </row>
    <row r="37" spans="1:12" ht="12.6" customHeight="1">
      <c r="A37" s="7">
        <v>36</v>
      </c>
      <c r="B37" s="8" t="s">
        <v>7</v>
      </c>
      <c r="C37" s="31" t="s">
        <v>52</v>
      </c>
      <c r="D37" s="14">
        <v>21069099</v>
      </c>
      <c r="E37" s="18"/>
      <c r="F37" s="18">
        <v>144</v>
      </c>
      <c r="G37" s="19">
        <v>1053.19</v>
      </c>
      <c r="H37" s="19">
        <v>1137.44</v>
      </c>
      <c r="L37" s="5"/>
    </row>
    <row r="38" spans="1:12" ht="12.6" customHeight="1">
      <c r="A38" s="7">
        <v>37</v>
      </c>
      <c r="B38" s="8" t="s">
        <v>7</v>
      </c>
      <c r="C38" s="31" t="s">
        <v>53</v>
      </c>
      <c r="D38" s="14">
        <v>21069099</v>
      </c>
      <c r="E38" s="18"/>
      <c r="F38" s="18">
        <v>120</v>
      </c>
      <c r="G38" s="19">
        <v>877.65</v>
      </c>
      <c r="H38" s="19">
        <v>947.87</v>
      </c>
      <c r="L38" s="5"/>
    </row>
    <row r="39" spans="1:12" ht="12.6" customHeight="1">
      <c r="A39" s="7">
        <v>38</v>
      </c>
      <c r="B39" s="8" t="s">
        <v>7</v>
      </c>
      <c r="C39" s="31" t="s">
        <v>54</v>
      </c>
      <c r="D39" s="14">
        <v>21069099</v>
      </c>
      <c r="E39" s="18"/>
      <c r="F39" s="18">
        <v>120</v>
      </c>
      <c r="G39" s="19">
        <v>877.65</v>
      </c>
      <c r="H39" s="19">
        <v>947.87</v>
      </c>
      <c r="L39" s="5"/>
    </row>
    <row r="40" spans="1:12" ht="12.6" customHeight="1">
      <c r="A40" s="7">
        <v>39</v>
      </c>
      <c r="B40" s="8" t="s">
        <v>7</v>
      </c>
      <c r="C40" s="31" t="s">
        <v>55</v>
      </c>
      <c r="D40" s="14">
        <v>21069099</v>
      </c>
      <c r="E40" s="18"/>
      <c r="F40" s="18">
        <v>120</v>
      </c>
      <c r="G40" s="19">
        <v>877.65</v>
      </c>
      <c r="H40" s="19">
        <v>947.87</v>
      </c>
      <c r="L40" s="5"/>
    </row>
    <row r="41" spans="1:12" ht="12.6" customHeight="1">
      <c r="A41" s="7">
        <v>40</v>
      </c>
      <c r="B41" s="8" t="s">
        <v>7</v>
      </c>
      <c r="C41" s="31" t="s">
        <v>56</v>
      </c>
      <c r="D41" s="14">
        <v>21069099</v>
      </c>
      <c r="E41" s="18"/>
      <c r="F41" s="18">
        <v>120</v>
      </c>
      <c r="G41" s="19">
        <v>877.65</v>
      </c>
      <c r="H41" s="19">
        <v>947.87</v>
      </c>
      <c r="L41" s="5"/>
    </row>
    <row r="42" spans="1:12" ht="12.6" customHeight="1">
      <c r="A42" s="7">
        <v>41</v>
      </c>
      <c r="B42" s="8" t="s">
        <v>7</v>
      </c>
      <c r="C42" s="31" t="s">
        <v>57</v>
      </c>
      <c r="D42" s="14">
        <v>21069099</v>
      </c>
      <c r="E42" s="18"/>
      <c r="F42" s="18">
        <v>120</v>
      </c>
      <c r="G42" s="19">
        <v>877.65</v>
      </c>
      <c r="H42" s="19">
        <v>947.87</v>
      </c>
      <c r="L42" s="5"/>
    </row>
    <row r="43" spans="1:12" ht="12.6" customHeight="1">
      <c r="A43" s="7">
        <v>42</v>
      </c>
      <c r="B43" s="8" t="s">
        <v>7</v>
      </c>
      <c r="C43" s="31" t="s">
        <v>58</v>
      </c>
      <c r="D43" s="14">
        <v>21069099</v>
      </c>
      <c r="E43" s="18"/>
      <c r="F43" s="18">
        <v>144</v>
      </c>
      <c r="G43" s="19">
        <v>1053.19</v>
      </c>
      <c r="H43" s="19">
        <v>1137.44</v>
      </c>
      <c r="L43" s="5"/>
    </row>
    <row r="44" spans="1:12" ht="12.6" customHeight="1">
      <c r="A44" s="7">
        <v>43</v>
      </c>
      <c r="B44" s="8" t="s">
        <v>7</v>
      </c>
      <c r="C44" s="31" t="s">
        <v>59</v>
      </c>
      <c r="D44" s="14">
        <v>21069099</v>
      </c>
      <c r="E44" s="18"/>
      <c r="F44" s="18">
        <v>120</v>
      </c>
      <c r="G44" s="19">
        <v>877.65</v>
      </c>
      <c r="H44" s="19">
        <v>947.87</v>
      </c>
      <c r="L44" s="5"/>
    </row>
    <row r="45" spans="1:12" ht="12.6" customHeight="1">
      <c r="A45" s="7">
        <v>44</v>
      </c>
      <c r="B45" s="8" t="s">
        <v>7</v>
      </c>
      <c r="C45" s="31" t="s">
        <v>60</v>
      </c>
      <c r="D45" s="14">
        <v>21069099</v>
      </c>
      <c r="E45" s="18"/>
      <c r="F45" s="18">
        <v>120</v>
      </c>
      <c r="G45" s="19">
        <v>877.65</v>
      </c>
      <c r="H45" s="19">
        <v>947.87</v>
      </c>
      <c r="L45" s="5"/>
    </row>
    <row r="46" spans="1:12" ht="12.6" customHeight="1">
      <c r="A46" s="7">
        <v>45</v>
      </c>
      <c r="B46" s="8" t="s">
        <v>7</v>
      </c>
      <c r="C46" s="31" t="s">
        <v>61</v>
      </c>
      <c r="D46" s="14">
        <v>21069099</v>
      </c>
      <c r="E46" s="18"/>
      <c r="F46" s="18">
        <v>144</v>
      </c>
      <c r="G46" s="19">
        <v>1053.19</v>
      </c>
      <c r="H46" s="19">
        <v>1137.44</v>
      </c>
      <c r="L46" s="5"/>
    </row>
    <row r="47" spans="1:12" ht="12.6" customHeight="1">
      <c r="A47" s="7">
        <v>46</v>
      </c>
      <c r="B47" s="8" t="s">
        <v>7</v>
      </c>
      <c r="C47" s="31" t="s">
        <v>62</v>
      </c>
      <c r="D47" s="14">
        <v>21069099</v>
      </c>
      <c r="E47" s="18"/>
      <c r="F47" s="18">
        <v>144</v>
      </c>
      <c r="G47" s="19">
        <v>1053.19</v>
      </c>
      <c r="H47" s="19">
        <v>1137.44</v>
      </c>
      <c r="L47" s="5"/>
    </row>
    <row r="48" spans="1:12" ht="12.6" customHeight="1">
      <c r="A48" s="7">
        <v>47</v>
      </c>
      <c r="B48" s="8" t="s">
        <v>7</v>
      </c>
      <c r="C48" s="31" t="s">
        <v>63</v>
      </c>
      <c r="D48" s="14">
        <v>21069099</v>
      </c>
      <c r="E48" s="18"/>
      <c r="F48" s="18">
        <v>144</v>
      </c>
      <c r="G48" s="19">
        <v>1368</v>
      </c>
      <c r="H48" s="19">
        <v>1584</v>
      </c>
      <c r="L48" s="5"/>
    </row>
    <row r="49" spans="1:12" ht="12.6" customHeight="1">
      <c r="A49" s="7">
        <v>48</v>
      </c>
      <c r="B49" s="8" t="s">
        <v>7</v>
      </c>
      <c r="C49" s="31" t="s">
        <v>64</v>
      </c>
      <c r="D49" s="14">
        <v>21069099</v>
      </c>
      <c r="E49" s="18"/>
      <c r="F49" s="18">
        <v>144</v>
      </c>
      <c r="G49" s="19">
        <v>1368</v>
      </c>
      <c r="H49" s="19">
        <v>1584</v>
      </c>
      <c r="L49" s="5"/>
    </row>
    <row r="50" spans="1:12" ht="12.6" customHeight="1">
      <c r="A50" s="7">
        <v>49</v>
      </c>
      <c r="B50" s="8" t="s">
        <v>7</v>
      </c>
      <c r="C50" s="31" t="s">
        <v>65</v>
      </c>
      <c r="D50" s="14">
        <v>21069099</v>
      </c>
      <c r="E50" s="18"/>
      <c r="F50" s="18">
        <v>144</v>
      </c>
      <c r="G50" s="19">
        <v>1368</v>
      </c>
      <c r="H50" s="19">
        <v>1584</v>
      </c>
      <c r="L50" s="5"/>
    </row>
    <row r="51" spans="1:12" ht="12.6" customHeight="1">
      <c r="A51" s="7">
        <v>50</v>
      </c>
      <c r="B51" s="8" t="s">
        <v>7</v>
      </c>
      <c r="C51" s="31" t="s">
        <v>66</v>
      </c>
      <c r="D51" s="14">
        <v>21069099</v>
      </c>
      <c r="E51" s="18"/>
      <c r="F51" s="18">
        <v>144</v>
      </c>
      <c r="G51" s="19">
        <v>1368</v>
      </c>
      <c r="H51" s="19">
        <v>1584</v>
      </c>
      <c r="L51" s="5"/>
    </row>
    <row r="52" spans="1:12" ht="12.6" customHeight="1">
      <c r="A52" s="7">
        <v>51</v>
      </c>
      <c r="B52" s="8" t="s">
        <v>7</v>
      </c>
      <c r="C52" s="31" t="s">
        <v>67</v>
      </c>
      <c r="D52" s="14">
        <v>21069099</v>
      </c>
      <c r="E52" s="18"/>
      <c r="F52" s="18">
        <v>144</v>
      </c>
      <c r="G52" s="19">
        <v>1368</v>
      </c>
      <c r="H52" s="19">
        <v>1584</v>
      </c>
      <c r="L52" s="5"/>
    </row>
    <row r="53" spans="1:12" ht="12.6" customHeight="1">
      <c r="A53" s="7">
        <v>52</v>
      </c>
      <c r="B53" s="8" t="s">
        <v>7</v>
      </c>
      <c r="C53" s="31" t="s">
        <v>68</v>
      </c>
      <c r="D53" s="14">
        <v>21069099</v>
      </c>
      <c r="E53" s="18"/>
      <c r="F53" s="18">
        <v>144</v>
      </c>
      <c r="G53" s="19">
        <v>1368</v>
      </c>
      <c r="H53" s="19">
        <v>1584</v>
      </c>
      <c r="L53" s="5"/>
    </row>
    <row r="54" spans="1:12" ht="12.6" customHeight="1">
      <c r="A54" s="7">
        <v>53</v>
      </c>
      <c r="B54" s="8" t="s">
        <v>7</v>
      </c>
      <c r="C54" s="31" t="s">
        <v>69</v>
      </c>
      <c r="D54" s="14">
        <v>21069099</v>
      </c>
      <c r="E54" s="18"/>
      <c r="F54" s="18">
        <v>144</v>
      </c>
      <c r="G54" s="19">
        <v>1368</v>
      </c>
      <c r="H54" s="19">
        <v>1584</v>
      </c>
      <c r="L54" s="5"/>
    </row>
    <row r="55" spans="1:12" ht="12.6" customHeight="1">
      <c r="A55" s="7">
        <v>54</v>
      </c>
      <c r="B55" s="8" t="s">
        <v>7</v>
      </c>
      <c r="C55" s="31" t="s">
        <v>70</v>
      </c>
      <c r="D55" s="14">
        <v>21069099</v>
      </c>
      <c r="E55" s="18"/>
      <c r="F55" s="18">
        <v>144</v>
      </c>
      <c r="G55" s="19">
        <v>1368</v>
      </c>
      <c r="H55" s="19">
        <v>1584</v>
      </c>
      <c r="L55" s="5"/>
    </row>
    <row r="56" spans="1:12" ht="12.6" customHeight="1">
      <c r="A56" s="7">
        <v>55</v>
      </c>
      <c r="B56" s="8" t="s">
        <v>7</v>
      </c>
      <c r="C56" s="31" t="s">
        <v>71</v>
      </c>
      <c r="D56" s="14">
        <v>21069099</v>
      </c>
      <c r="E56" s="18"/>
      <c r="F56" s="18">
        <v>144</v>
      </c>
      <c r="G56" s="19">
        <v>1368</v>
      </c>
      <c r="H56" s="19">
        <v>1584</v>
      </c>
      <c r="L56" s="5"/>
    </row>
    <row r="57" spans="1:12" ht="12.6" customHeight="1">
      <c r="A57" s="7">
        <v>56</v>
      </c>
      <c r="B57" s="8" t="s">
        <v>7</v>
      </c>
      <c r="C57" s="31" t="s">
        <v>72</v>
      </c>
      <c r="D57" s="14">
        <v>21069099</v>
      </c>
      <c r="E57" s="18"/>
      <c r="F57" s="18">
        <v>144</v>
      </c>
      <c r="G57" s="19">
        <v>1368</v>
      </c>
      <c r="H57" s="19">
        <v>1584</v>
      </c>
      <c r="L57" s="5"/>
    </row>
    <row r="58" spans="1:12" ht="12.6" customHeight="1">
      <c r="A58" s="7">
        <v>57</v>
      </c>
      <c r="B58" s="8" t="s">
        <v>7</v>
      </c>
      <c r="C58" s="31" t="s">
        <v>73</v>
      </c>
      <c r="D58" s="14">
        <v>21069099</v>
      </c>
      <c r="E58" s="18"/>
      <c r="F58" s="18">
        <v>20</v>
      </c>
      <c r="G58" s="19">
        <v>729.08</v>
      </c>
      <c r="H58" s="19">
        <v>787.4</v>
      </c>
      <c r="L58" s="5"/>
    </row>
    <row r="59" spans="1:12" ht="12.6" customHeight="1">
      <c r="A59" s="7">
        <v>58</v>
      </c>
      <c r="B59" s="8" t="s">
        <v>7</v>
      </c>
      <c r="C59" s="31" t="s">
        <v>209</v>
      </c>
      <c r="D59" s="14">
        <v>21069099</v>
      </c>
      <c r="E59" s="18"/>
      <c r="F59" s="18">
        <v>25</v>
      </c>
      <c r="G59" s="19">
        <v>820.21</v>
      </c>
      <c r="H59" s="19">
        <v>885.83</v>
      </c>
      <c r="L59" s="5"/>
    </row>
    <row r="60" spans="1:12" ht="12.6" customHeight="1">
      <c r="A60" s="7">
        <v>59</v>
      </c>
      <c r="B60" s="8" t="s">
        <v>7</v>
      </c>
      <c r="C60" s="31" t="s">
        <v>208</v>
      </c>
      <c r="D60" s="14">
        <v>21069099</v>
      </c>
      <c r="E60" s="18"/>
      <c r="F60" s="18">
        <v>25</v>
      </c>
      <c r="G60" s="19">
        <v>820.21</v>
      </c>
      <c r="H60" s="19">
        <v>885.83</v>
      </c>
      <c r="L60" s="5"/>
    </row>
    <row r="61" spans="1:12" ht="12.6" customHeight="1">
      <c r="A61" s="7">
        <v>60</v>
      </c>
      <c r="B61" s="8" t="s">
        <v>7</v>
      </c>
      <c r="C61" s="31" t="s">
        <v>207</v>
      </c>
      <c r="D61" s="14">
        <v>21069099</v>
      </c>
      <c r="E61" s="18"/>
      <c r="F61" s="18">
        <v>25</v>
      </c>
      <c r="G61" s="19">
        <v>820.21</v>
      </c>
      <c r="H61" s="19">
        <v>885.83</v>
      </c>
      <c r="L61" s="5"/>
    </row>
    <row r="62" spans="1:12" ht="12.6" customHeight="1">
      <c r="A62" s="7">
        <v>61</v>
      </c>
      <c r="B62" s="8" t="s">
        <v>7</v>
      </c>
      <c r="C62" s="31" t="s">
        <v>74</v>
      </c>
      <c r="D62" s="14">
        <v>21069099</v>
      </c>
      <c r="E62" s="18"/>
      <c r="F62" s="18">
        <v>25</v>
      </c>
      <c r="G62" s="19">
        <v>820.21</v>
      </c>
      <c r="H62" s="19">
        <v>885.83</v>
      </c>
      <c r="L62" s="5"/>
    </row>
    <row r="63" spans="1:12" ht="12.6" customHeight="1">
      <c r="A63" s="7">
        <v>62</v>
      </c>
      <c r="B63" s="8" t="s">
        <v>7</v>
      </c>
      <c r="C63" s="31" t="s">
        <v>75</v>
      </c>
      <c r="D63" s="14">
        <v>21069099</v>
      </c>
      <c r="E63" s="18"/>
      <c r="F63" s="18">
        <v>25</v>
      </c>
      <c r="G63" s="19">
        <v>820.21</v>
      </c>
      <c r="H63" s="19">
        <v>885.83</v>
      </c>
      <c r="L63" s="5"/>
    </row>
    <row r="64" spans="1:12" ht="12.6" customHeight="1">
      <c r="A64" s="7">
        <v>63</v>
      </c>
      <c r="B64" s="8" t="s">
        <v>7</v>
      </c>
      <c r="C64" s="31" t="s">
        <v>76</v>
      </c>
      <c r="D64" s="14">
        <v>21069099</v>
      </c>
      <c r="E64" s="18"/>
      <c r="F64" s="18">
        <v>25</v>
      </c>
      <c r="G64" s="19">
        <v>911.34</v>
      </c>
      <c r="H64" s="19">
        <v>984.25</v>
      </c>
      <c r="L64" s="5"/>
    </row>
    <row r="65" spans="1:12" ht="12.6" customHeight="1">
      <c r="A65" s="7">
        <v>64</v>
      </c>
      <c r="B65" s="8" t="s">
        <v>7</v>
      </c>
      <c r="C65" s="31" t="s">
        <v>77</v>
      </c>
      <c r="D65" s="14">
        <v>21069099</v>
      </c>
      <c r="E65" s="18"/>
      <c r="F65" s="18">
        <v>25</v>
      </c>
      <c r="G65" s="19">
        <v>911.34</v>
      </c>
      <c r="H65" s="19">
        <v>984.25</v>
      </c>
      <c r="L65" s="5"/>
    </row>
    <row r="66" spans="1:12" ht="12.6" customHeight="1">
      <c r="A66" s="7">
        <v>65</v>
      </c>
      <c r="B66" s="8" t="s">
        <v>7</v>
      </c>
      <c r="C66" s="31" t="s">
        <v>78</v>
      </c>
      <c r="D66" s="14">
        <v>21069099</v>
      </c>
      <c r="E66" s="18"/>
      <c r="F66" s="18">
        <v>25</v>
      </c>
      <c r="G66" s="19">
        <v>820.21</v>
      </c>
      <c r="H66" s="19">
        <v>885.83</v>
      </c>
      <c r="L66" s="5"/>
    </row>
    <row r="67" spans="1:12" ht="12.6" customHeight="1">
      <c r="A67" s="7">
        <v>66</v>
      </c>
      <c r="B67" s="8" t="s">
        <v>7</v>
      </c>
      <c r="C67" s="31" t="s">
        <v>79</v>
      </c>
      <c r="D67" s="14">
        <v>21069099</v>
      </c>
      <c r="E67" s="18"/>
      <c r="F67" s="18">
        <v>20</v>
      </c>
      <c r="G67" s="19">
        <v>729.08</v>
      </c>
      <c r="H67" s="19">
        <v>787.4</v>
      </c>
      <c r="L67" s="5"/>
    </row>
    <row r="68" spans="1:12" ht="12.6" customHeight="1">
      <c r="A68" s="7">
        <v>67</v>
      </c>
      <c r="B68" s="8" t="s">
        <v>7</v>
      </c>
      <c r="C68" s="31" t="s">
        <v>80</v>
      </c>
      <c r="D68" s="14">
        <v>21069099</v>
      </c>
      <c r="E68" s="18"/>
      <c r="F68" s="18">
        <v>25</v>
      </c>
      <c r="G68" s="19">
        <v>820.21</v>
      </c>
      <c r="H68" s="19">
        <v>885.83</v>
      </c>
      <c r="L68" s="5"/>
    </row>
    <row r="69" spans="1:12" ht="12.6" customHeight="1">
      <c r="A69" s="7">
        <v>68</v>
      </c>
      <c r="B69" s="8" t="s">
        <v>7</v>
      </c>
      <c r="C69" s="31" t="s">
        <v>81</v>
      </c>
      <c r="D69" s="14">
        <v>21069099</v>
      </c>
      <c r="E69" s="18"/>
      <c r="F69" s="18">
        <v>25</v>
      </c>
      <c r="G69" s="19">
        <v>820.21</v>
      </c>
      <c r="H69" s="19">
        <v>885.83</v>
      </c>
      <c r="L69" s="5"/>
    </row>
    <row r="70" spans="1:12" ht="12.6" customHeight="1">
      <c r="A70" s="7">
        <v>69</v>
      </c>
      <c r="B70" s="8" t="s">
        <v>7</v>
      </c>
      <c r="C70" s="31" t="s">
        <v>210</v>
      </c>
      <c r="D70" s="14">
        <v>21069099</v>
      </c>
      <c r="E70" s="18"/>
      <c r="F70" s="18">
        <v>25</v>
      </c>
      <c r="G70" s="19">
        <v>820.21</v>
      </c>
      <c r="H70" s="19">
        <v>885.83</v>
      </c>
      <c r="L70" s="5"/>
    </row>
    <row r="71" spans="1:12" ht="12.6" customHeight="1">
      <c r="A71" s="7">
        <v>70</v>
      </c>
      <c r="B71" s="8" t="s">
        <v>7</v>
      </c>
      <c r="C71" s="31" t="s">
        <v>82</v>
      </c>
      <c r="D71" s="14">
        <v>21069099</v>
      </c>
      <c r="E71" s="18"/>
      <c r="F71" s="18">
        <v>25</v>
      </c>
      <c r="G71" s="19">
        <v>820.21</v>
      </c>
      <c r="H71" s="19">
        <v>885.83</v>
      </c>
      <c r="L71" s="5"/>
    </row>
    <row r="72" spans="1:12" ht="12.6" customHeight="1">
      <c r="A72" s="7">
        <v>71</v>
      </c>
      <c r="B72" s="8" t="s">
        <v>7</v>
      </c>
      <c r="C72" s="31" t="s">
        <v>83</v>
      </c>
      <c r="D72" s="14">
        <v>21069099</v>
      </c>
      <c r="E72" s="18"/>
      <c r="F72" s="18">
        <v>25</v>
      </c>
      <c r="G72" s="19">
        <v>820.21</v>
      </c>
      <c r="H72" s="19">
        <v>885.83</v>
      </c>
      <c r="L72" s="5"/>
    </row>
    <row r="73" spans="1:12" ht="12.6" customHeight="1">
      <c r="A73" s="7">
        <v>72</v>
      </c>
      <c r="B73" s="8" t="s">
        <v>7</v>
      </c>
      <c r="C73" s="31" t="s">
        <v>84</v>
      </c>
      <c r="D73" s="14">
        <v>21069099</v>
      </c>
      <c r="E73" s="18"/>
      <c r="F73" s="18">
        <v>25</v>
      </c>
      <c r="G73" s="19">
        <v>820.21</v>
      </c>
      <c r="H73" s="19">
        <v>885.83</v>
      </c>
      <c r="L73" s="5"/>
    </row>
    <row r="74" spans="1:12" ht="12.6" customHeight="1">
      <c r="A74" s="7">
        <v>73</v>
      </c>
      <c r="B74" s="8" t="s">
        <v>7</v>
      </c>
      <c r="C74" s="31" t="s">
        <v>85</v>
      </c>
      <c r="D74" s="14">
        <v>21069099</v>
      </c>
      <c r="E74" s="18"/>
      <c r="F74" s="18">
        <v>25</v>
      </c>
      <c r="G74" s="19">
        <v>820.21</v>
      </c>
      <c r="H74" s="19">
        <v>885.83</v>
      </c>
      <c r="L74" s="5"/>
    </row>
    <row r="75" spans="1:12" ht="12.6" customHeight="1">
      <c r="A75" s="7">
        <v>74</v>
      </c>
      <c r="B75" s="8" t="s">
        <v>7</v>
      </c>
      <c r="C75" s="31" t="s">
        <v>86</v>
      </c>
      <c r="D75" s="14">
        <v>21069099</v>
      </c>
      <c r="E75" s="18"/>
      <c r="F75" s="18">
        <v>25</v>
      </c>
      <c r="G75" s="19">
        <v>911.34</v>
      </c>
      <c r="H75" s="19">
        <v>984.25</v>
      </c>
      <c r="L75" s="5"/>
    </row>
    <row r="76" spans="1:12" ht="12.6" customHeight="1">
      <c r="A76" s="7">
        <v>75</v>
      </c>
      <c r="B76" s="8" t="s">
        <v>7</v>
      </c>
      <c r="C76" s="31" t="s">
        <v>87</v>
      </c>
      <c r="D76" s="14">
        <v>21069099</v>
      </c>
      <c r="E76" s="18"/>
      <c r="F76" s="18">
        <v>25</v>
      </c>
      <c r="G76" s="19">
        <v>820.21</v>
      </c>
      <c r="H76" s="19">
        <v>885.83</v>
      </c>
      <c r="L76" s="5"/>
    </row>
    <row r="77" spans="1:12" ht="12.6" customHeight="1">
      <c r="A77" s="7">
        <v>76</v>
      </c>
      <c r="B77" s="8" t="s">
        <v>7</v>
      </c>
      <c r="C77" s="31" t="s">
        <v>88</v>
      </c>
      <c r="D77" s="14">
        <v>21069099</v>
      </c>
      <c r="E77" s="18"/>
      <c r="F77" s="18">
        <v>20</v>
      </c>
      <c r="G77" s="19">
        <v>656.17</v>
      </c>
      <c r="H77" s="19">
        <v>708.66</v>
      </c>
      <c r="L77" s="5"/>
    </row>
    <row r="78" spans="1:12" ht="12.6" customHeight="1">
      <c r="A78" s="7">
        <v>77</v>
      </c>
      <c r="B78" s="8" t="s">
        <v>7</v>
      </c>
      <c r="C78" s="31" t="s">
        <v>89</v>
      </c>
      <c r="D78" s="14">
        <v>21069099</v>
      </c>
      <c r="E78" s="18"/>
      <c r="F78" s="18">
        <v>20</v>
      </c>
      <c r="G78" s="19">
        <v>656.17</v>
      </c>
      <c r="H78" s="19">
        <v>708.66</v>
      </c>
      <c r="L78" s="5"/>
    </row>
    <row r="79" spans="1:12" ht="12.6" customHeight="1">
      <c r="A79" s="7">
        <v>78</v>
      </c>
      <c r="B79" s="8" t="s">
        <v>7</v>
      </c>
      <c r="C79" s="31" t="s">
        <v>90</v>
      </c>
      <c r="D79" s="14">
        <v>21069099</v>
      </c>
      <c r="E79" s="18"/>
      <c r="F79" s="18">
        <v>20</v>
      </c>
      <c r="G79" s="19">
        <v>656.17</v>
      </c>
      <c r="H79" s="19">
        <v>708.66</v>
      </c>
      <c r="L79" s="5"/>
    </row>
    <row r="80" spans="1:12" ht="12.6" customHeight="1">
      <c r="A80" s="7">
        <v>79</v>
      </c>
      <c r="B80" s="8" t="s">
        <v>7</v>
      </c>
      <c r="C80" s="31" t="s">
        <v>91</v>
      </c>
      <c r="D80" s="14">
        <v>21069099</v>
      </c>
      <c r="E80" s="18"/>
      <c r="F80" s="18">
        <v>20</v>
      </c>
      <c r="G80" s="19">
        <v>656.17</v>
      </c>
      <c r="H80" s="19">
        <v>708.66</v>
      </c>
      <c r="L80" s="5"/>
    </row>
    <row r="81" spans="1:12" ht="12.6" customHeight="1">
      <c r="A81" s="7">
        <v>80</v>
      </c>
      <c r="B81" s="8" t="s">
        <v>7</v>
      </c>
      <c r="C81" s="31" t="s">
        <v>92</v>
      </c>
      <c r="D81" s="14">
        <v>21069099</v>
      </c>
      <c r="E81" s="18"/>
      <c r="F81" s="18">
        <v>20</v>
      </c>
      <c r="G81" s="19">
        <v>1282.05</v>
      </c>
      <c r="H81" s="19">
        <v>1384.62</v>
      </c>
      <c r="L81" s="5"/>
    </row>
    <row r="82" spans="1:12" ht="12.6" customHeight="1">
      <c r="A82" s="7">
        <v>81</v>
      </c>
      <c r="B82" s="8" t="s">
        <v>7</v>
      </c>
      <c r="C82" s="31" t="s">
        <v>93</v>
      </c>
      <c r="D82" s="14">
        <v>21069099</v>
      </c>
      <c r="E82" s="18"/>
      <c r="F82" s="18">
        <v>20</v>
      </c>
      <c r="G82" s="19">
        <v>1424.5</v>
      </c>
      <c r="H82" s="19">
        <v>1538.46</v>
      </c>
      <c r="L82" s="5"/>
    </row>
    <row r="83" spans="1:12" ht="12.6" customHeight="1">
      <c r="A83" s="7">
        <v>82</v>
      </c>
      <c r="B83" s="8" t="s">
        <v>7</v>
      </c>
      <c r="C83" s="31" t="s">
        <v>94</v>
      </c>
      <c r="D83" s="14">
        <v>21069099</v>
      </c>
      <c r="E83" s="18"/>
      <c r="F83" s="18">
        <v>20</v>
      </c>
      <c r="G83" s="19">
        <v>1353.28</v>
      </c>
      <c r="H83" s="19">
        <v>1461.54</v>
      </c>
      <c r="L83" s="5"/>
    </row>
    <row r="84" spans="1:12" ht="12.6" customHeight="1">
      <c r="A84" s="7">
        <v>83</v>
      </c>
      <c r="B84" s="8" t="s">
        <v>7</v>
      </c>
      <c r="C84" s="31" t="s">
        <v>95</v>
      </c>
      <c r="D84" s="14">
        <v>21069099</v>
      </c>
      <c r="E84" s="18"/>
      <c r="F84" s="18">
        <v>20</v>
      </c>
      <c r="G84" s="19">
        <v>1353.28</v>
      </c>
      <c r="H84" s="19">
        <v>1461.54</v>
      </c>
      <c r="L84" s="5"/>
    </row>
    <row r="85" spans="1:12" ht="12.6" customHeight="1">
      <c r="A85" s="7">
        <v>84</v>
      </c>
      <c r="B85" s="8" t="s">
        <v>7</v>
      </c>
      <c r="C85" s="31" t="s">
        <v>96</v>
      </c>
      <c r="D85" s="14">
        <v>21069099</v>
      </c>
      <c r="E85" s="18"/>
      <c r="F85" s="18">
        <v>20</v>
      </c>
      <c r="G85" s="19">
        <v>1282.05</v>
      </c>
      <c r="H85" s="19">
        <v>1384.62</v>
      </c>
      <c r="L85" s="5"/>
    </row>
    <row r="86" spans="1:12" ht="12.6" customHeight="1">
      <c r="A86" s="7">
        <v>85</v>
      </c>
      <c r="B86" s="8" t="s">
        <v>7</v>
      </c>
      <c r="C86" s="31" t="s">
        <v>97</v>
      </c>
      <c r="D86" s="14">
        <v>21069099</v>
      </c>
      <c r="E86" s="18"/>
      <c r="F86" s="18">
        <v>20</v>
      </c>
      <c r="G86" s="19">
        <v>1282.05</v>
      </c>
      <c r="H86" s="19">
        <v>1384.62</v>
      </c>
      <c r="L86" s="5"/>
    </row>
    <row r="87" spans="1:12" ht="12.6" customHeight="1">
      <c r="A87" s="7">
        <v>86</v>
      </c>
      <c r="B87" s="8" t="s">
        <v>7</v>
      </c>
      <c r="C87" s="31" t="s">
        <v>98</v>
      </c>
      <c r="D87" s="14">
        <v>21069099</v>
      </c>
      <c r="E87" s="18"/>
      <c r="F87" s="18">
        <v>20</v>
      </c>
      <c r="G87" s="19">
        <v>1424.5</v>
      </c>
      <c r="H87" s="19">
        <v>1538.46</v>
      </c>
      <c r="L87" s="5"/>
    </row>
    <row r="88" spans="1:12" ht="12.6" customHeight="1">
      <c r="A88" s="7">
        <v>87</v>
      </c>
      <c r="B88" s="8" t="s">
        <v>7</v>
      </c>
      <c r="C88" s="31" t="s">
        <v>99</v>
      </c>
      <c r="D88" s="14">
        <v>21069099</v>
      </c>
      <c r="E88" s="18"/>
      <c r="F88" s="18">
        <v>20</v>
      </c>
      <c r="G88" s="19">
        <v>1210.83</v>
      </c>
      <c r="H88" s="19">
        <v>1307.69</v>
      </c>
      <c r="L88" s="5"/>
    </row>
    <row r="89" spans="1:12" ht="12.6" customHeight="1">
      <c r="A89" s="7">
        <v>88</v>
      </c>
      <c r="B89" s="8" t="s">
        <v>7</v>
      </c>
      <c r="C89" s="31" t="s">
        <v>100</v>
      </c>
      <c r="D89" s="14">
        <v>21069099</v>
      </c>
      <c r="E89" s="18"/>
      <c r="F89" s="18">
        <v>20</v>
      </c>
      <c r="G89" s="19">
        <v>1282.05</v>
      </c>
      <c r="H89" s="19">
        <v>1384.62</v>
      </c>
      <c r="L89" s="5"/>
    </row>
    <row r="90" spans="1:12" ht="12.6" customHeight="1">
      <c r="A90" s="7">
        <v>89</v>
      </c>
      <c r="B90" s="8" t="s">
        <v>7</v>
      </c>
      <c r="C90" s="31" t="s">
        <v>101</v>
      </c>
      <c r="D90" s="14">
        <v>21069099</v>
      </c>
      <c r="E90" s="18"/>
      <c r="F90" s="18">
        <v>20</v>
      </c>
      <c r="G90" s="19">
        <v>1282.05</v>
      </c>
      <c r="H90" s="19">
        <v>1384.62</v>
      </c>
      <c r="L90" s="5"/>
    </row>
    <row r="91" spans="1:12" ht="12.6" customHeight="1">
      <c r="A91" s="7">
        <v>90</v>
      </c>
      <c r="B91" s="8" t="s">
        <v>7</v>
      </c>
      <c r="C91" s="31" t="s">
        <v>102</v>
      </c>
      <c r="D91" s="14">
        <v>21069099</v>
      </c>
      <c r="E91" s="18"/>
      <c r="F91" s="18">
        <v>20</v>
      </c>
      <c r="G91" s="19">
        <v>1424.5</v>
      </c>
      <c r="H91" s="19">
        <v>1538.46</v>
      </c>
      <c r="L91" s="5"/>
    </row>
    <row r="92" spans="1:12" ht="12.6" customHeight="1">
      <c r="A92" s="7">
        <v>91</v>
      </c>
      <c r="B92" s="8" t="s">
        <v>7</v>
      </c>
      <c r="C92" s="31" t="s">
        <v>103</v>
      </c>
      <c r="D92" s="14">
        <v>21069099</v>
      </c>
      <c r="E92" s="18"/>
      <c r="F92" s="18">
        <v>20</v>
      </c>
      <c r="G92" s="19">
        <v>1282.05</v>
      </c>
      <c r="H92" s="19">
        <v>1384.62</v>
      </c>
      <c r="L92" s="5"/>
    </row>
    <row r="93" spans="1:12" ht="12.6" customHeight="1">
      <c r="A93" s="7">
        <v>92</v>
      </c>
      <c r="B93" s="8" t="s">
        <v>7</v>
      </c>
      <c r="C93" s="31" t="s">
        <v>104</v>
      </c>
      <c r="D93" s="14">
        <v>21069099</v>
      </c>
      <c r="E93" s="18"/>
      <c r="F93" s="18">
        <v>20</v>
      </c>
      <c r="G93" s="19">
        <v>1068.3800000000001</v>
      </c>
      <c r="H93" s="19">
        <v>1153.8499999999999</v>
      </c>
      <c r="L93" s="5"/>
    </row>
    <row r="94" spans="1:12" ht="12.6" customHeight="1">
      <c r="A94" s="7">
        <v>93</v>
      </c>
      <c r="B94" s="8" t="s">
        <v>7</v>
      </c>
      <c r="C94" s="31" t="s">
        <v>105</v>
      </c>
      <c r="D94" s="14">
        <v>21069099</v>
      </c>
      <c r="E94" s="18"/>
      <c r="F94" s="18">
        <v>12</v>
      </c>
      <c r="G94" s="19">
        <v>1752.14</v>
      </c>
      <c r="H94" s="19">
        <v>1892.31</v>
      </c>
      <c r="L94" s="5"/>
    </row>
    <row r="95" spans="1:12" ht="12.6" customHeight="1">
      <c r="A95" s="7">
        <v>94</v>
      </c>
      <c r="B95" s="8" t="s">
        <v>8</v>
      </c>
      <c r="C95" s="31" t="s">
        <v>106</v>
      </c>
      <c r="D95" s="14">
        <v>20052000</v>
      </c>
      <c r="E95" s="18"/>
      <c r="F95" s="18">
        <v>144</v>
      </c>
      <c r="G95" s="19">
        <v>533.33000000000004</v>
      </c>
      <c r="H95" s="19">
        <v>576</v>
      </c>
      <c r="L95" s="5"/>
    </row>
    <row r="96" spans="1:12" ht="12.6" customHeight="1">
      <c r="A96" s="7">
        <v>95</v>
      </c>
      <c r="B96" s="8" t="s">
        <v>8</v>
      </c>
      <c r="C96" s="31" t="s">
        <v>107</v>
      </c>
      <c r="D96" s="14">
        <v>20052000</v>
      </c>
      <c r="E96" s="18"/>
      <c r="F96" s="18">
        <v>144</v>
      </c>
      <c r="G96" s="19">
        <v>533.33000000000004</v>
      </c>
      <c r="H96" s="19">
        <v>576</v>
      </c>
      <c r="L96" s="5"/>
    </row>
    <row r="97" spans="1:12" ht="12.6" customHeight="1">
      <c r="A97" s="7">
        <v>96</v>
      </c>
      <c r="B97" s="8" t="s">
        <v>8</v>
      </c>
      <c r="C97" s="31" t="s">
        <v>108</v>
      </c>
      <c r="D97" s="14">
        <v>20052000</v>
      </c>
      <c r="E97" s="18"/>
      <c r="F97" s="18">
        <v>144</v>
      </c>
      <c r="G97" s="19">
        <v>533.33000000000004</v>
      </c>
      <c r="H97" s="19">
        <v>576</v>
      </c>
      <c r="L97" s="5"/>
    </row>
    <row r="98" spans="1:12" ht="12.6" customHeight="1">
      <c r="A98" s="7">
        <v>97</v>
      </c>
      <c r="B98" s="8" t="s">
        <v>8</v>
      </c>
      <c r="C98" s="31" t="s">
        <v>109</v>
      </c>
      <c r="D98" s="14">
        <v>20052000</v>
      </c>
      <c r="E98" s="18"/>
      <c r="F98" s="18">
        <v>144</v>
      </c>
      <c r="G98" s="19">
        <v>533.33000000000004</v>
      </c>
      <c r="H98" s="19">
        <v>576</v>
      </c>
      <c r="L98" s="5"/>
    </row>
    <row r="99" spans="1:12" ht="12.6" customHeight="1">
      <c r="A99" s="7">
        <v>98</v>
      </c>
      <c r="B99" s="8" t="s">
        <v>8</v>
      </c>
      <c r="C99" s="31" t="s">
        <v>110</v>
      </c>
      <c r="D99" s="14">
        <v>20052000</v>
      </c>
      <c r="E99" s="18"/>
      <c r="F99" s="18">
        <v>144</v>
      </c>
      <c r="G99" s="19">
        <v>533.33000000000004</v>
      </c>
      <c r="H99" s="19">
        <v>576</v>
      </c>
      <c r="L99" s="5"/>
    </row>
    <row r="100" spans="1:12" ht="12.6" customHeight="1">
      <c r="A100" s="7">
        <v>99</v>
      </c>
      <c r="B100" s="8" t="s">
        <v>8</v>
      </c>
      <c r="C100" s="31" t="s">
        <v>111</v>
      </c>
      <c r="D100" s="14">
        <v>20052000</v>
      </c>
      <c r="E100" s="18"/>
      <c r="F100" s="18">
        <v>144</v>
      </c>
      <c r="G100" s="19">
        <v>533.33000000000004</v>
      </c>
      <c r="H100" s="19">
        <v>576</v>
      </c>
      <c r="L100" s="5"/>
    </row>
    <row r="101" spans="1:12" ht="12.6" customHeight="1">
      <c r="A101" s="7">
        <v>100</v>
      </c>
      <c r="B101" s="8" t="s">
        <v>8</v>
      </c>
      <c r="C101" s="31" t="s">
        <v>112</v>
      </c>
      <c r="D101" s="14">
        <v>20052000</v>
      </c>
      <c r="E101" s="18"/>
      <c r="F101" s="18">
        <v>144</v>
      </c>
      <c r="G101" s="19">
        <v>533.33000000000004</v>
      </c>
      <c r="H101" s="19">
        <v>576</v>
      </c>
      <c r="L101" s="5"/>
    </row>
    <row r="102" spans="1:12" ht="12.6" customHeight="1">
      <c r="A102" s="7">
        <v>101</v>
      </c>
      <c r="B102" s="8" t="s">
        <v>8</v>
      </c>
      <c r="C102" s="31" t="s">
        <v>113</v>
      </c>
      <c r="D102" s="14">
        <v>20052000</v>
      </c>
      <c r="E102" s="18"/>
      <c r="F102" s="18">
        <v>144</v>
      </c>
      <c r="G102" s="19">
        <v>1027.22</v>
      </c>
      <c r="H102" s="19">
        <v>1109.4000000000001</v>
      </c>
      <c r="L102" s="5"/>
    </row>
    <row r="103" spans="1:12" ht="12.6" customHeight="1">
      <c r="A103" s="7">
        <v>102</v>
      </c>
      <c r="B103" s="8" t="s">
        <v>8</v>
      </c>
      <c r="C103" s="31" t="s">
        <v>114</v>
      </c>
      <c r="D103" s="14">
        <v>20052000</v>
      </c>
      <c r="E103" s="18"/>
      <c r="F103" s="18">
        <v>144</v>
      </c>
      <c r="G103" s="19">
        <v>1027.22</v>
      </c>
      <c r="H103" s="19">
        <v>1109.4000000000001</v>
      </c>
      <c r="L103" s="5"/>
    </row>
    <row r="104" spans="1:12" ht="12.6" customHeight="1">
      <c r="A104" s="7">
        <v>103</v>
      </c>
      <c r="B104" s="8" t="s">
        <v>8</v>
      </c>
      <c r="C104" s="31" t="s">
        <v>115</v>
      </c>
      <c r="D104" s="14">
        <v>20052000</v>
      </c>
      <c r="E104" s="18"/>
      <c r="F104" s="18">
        <v>144</v>
      </c>
      <c r="G104" s="19">
        <v>1027.22</v>
      </c>
      <c r="H104" s="19">
        <v>1109.4000000000001</v>
      </c>
      <c r="L104" s="5"/>
    </row>
    <row r="105" spans="1:12" ht="12.6" customHeight="1">
      <c r="A105" s="7">
        <v>104</v>
      </c>
      <c r="B105" s="8" t="s">
        <v>8</v>
      </c>
      <c r="C105" s="31" t="s">
        <v>116</v>
      </c>
      <c r="D105" s="14">
        <v>20052000</v>
      </c>
      <c r="E105" s="18"/>
      <c r="F105" s="18">
        <v>144</v>
      </c>
      <c r="G105" s="19">
        <v>1027.22</v>
      </c>
      <c r="H105" s="19">
        <v>1109.4000000000001</v>
      </c>
      <c r="L105" s="5"/>
    </row>
    <row r="106" spans="1:12" ht="12.6" customHeight="1">
      <c r="A106" s="7">
        <v>105</v>
      </c>
      <c r="B106" s="8" t="s">
        <v>8</v>
      </c>
      <c r="C106" s="31" t="s">
        <v>117</v>
      </c>
      <c r="D106" s="14">
        <v>20052000</v>
      </c>
      <c r="E106" s="18"/>
      <c r="F106" s="18">
        <v>144</v>
      </c>
      <c r="G106" s="19">
        <v>1027.22</v>
      </c>
      <c r="H106" s="19">
        <v>1109.4000000000001</v>
      </c>
      <c r="L106" s="5"/>
    </row>
    <row r="107" spans="1:12" ht="12.6" customHeight="1">
      <c r="A107" s="7">
        <v>106</v>
      </c>
      <c r="B107" s="8" t="s">
        <v>8</v>
      </c>
      <c r="C107" s="31" t="s">
        <v>118</v>
      </c>
      <c r="D107" s="14">
        <v>20052000</v>
      </c>
      <c r="E107" s="18"/>
      <c r="F107" s="18">
        <v>144</v>
      </c>
      <c r="G107" s="19">
        <v>1027.22</v>
      </c>
      <c r="H107" s="19">
        <v>1109.4000000000001</v>
      </c>
      <c r="L107" s="5"/>
    </row>
    <row r="108" spans="1:12" ht="12.6" customHeight="1">
      <c r="A108" s="7">
        <v>107</v>
      </c>
      <c r="B108" s="8" t="s">
        <v>8</v>
      </c>
      <c r="C108" s="31" t="s">
        <v>119</v>
      </c>
      <c r="D108" s="14">
        <v>20052000</v>
      </c>
      <c r="E108" s="18"/>
      <c r="F108" s="18">
        <v>144</v>
      </c>
      <c r="G108" s="19">
        <v>1027.22</v>
      </c>
      <c r="H108" s="19">
        <v>1109.4000000000001</v>
      </c>
      <c r="L108" s="5"/>
    </row>
    <row r="109" spans="1:12" ht="12.6" customHeight="1">
      <c r="A109" s="7">
        <v>108</v>
      </c>
      <c r="B109" s="8" t="s">
        <v>8</v>
      </c>
      <c r="C109" s="31" t="s">
        <v>120</v>
      </c>
      <c r="D109" s="14">
        <v>21069099</v>
      </c>
      <c r="E109" s="18"/>
      <c r="F109" s="18">
        <v>144</v>
      </c>
      <c r="G109" s="19">
        <v>1066.67</v>
      </c>
      <c r="H109" s="19">
        <v>1152</v>
      </c>
      <c r="L109" s="5"/>
    </row>
    <row r="110" spans="1:12" ht="12.6" customHeight="1">
      <c r="A110" s="7">
        <v>109</v>
      </c>
      <c r="B110" s="8" t="s">
        <v>8</v>
      </c>
      <c r="C110" s="31" t="s">
        <v>121</v>
      </c>
      <c r="D110" s="14">
        <v>20052000</v>
      </c>
      <c r="E110" s="18"/>
      <c r="F110" s="18">
        <v>72</v>
      </c>
      <c r="G110" s="19">
        <v>684</v>
      </c>
      <c r="H110" s="19">
        <v>792</v>
      </c>
      <c r="L110" s="5"/>
    </row>
    <row r="111" spans="1:12" ht="12.6" customHeight="1">
      <c r="A111" s="7">
        <v>110</v>
      </c>
      <c r="B111" s="8" t="s">
        <v>8</v>
      </c>
      <c r="C111" s="31" t="s">
        <v>122</v>
      </c>
      <c r="D111" s="14">
        <v>20052000</v>
      </c>
      <c r="E111" s="18"/>
      <c r="F111" s="18">
        <v>72</v>
      </c>
      <c r="G111" s="19">
        <v>684</v>
      </c>
      <c r="H111" s="19">
        <v>792</v>
      </c>
      <c r="L111" s="5"/>
    </row>
    <row r="112" spans="1:12" ht="12.6" customHeight="1">
      <c r="A112" s="7">
        <v>111</v>
      </c>
      <c r="B112" s="8" t="s">
        <v>8</v>
      </c>
      <c r="C112" s="31" t="s">
        <v>123</v>
      </c>
      <c r="D112" s="14">
        <v>20052000</v>
      </c>
      <c r="E112" s="18"/>
      <c r="F112" s="18">
        <v>72</v>
      </c>
      <c r="G112" s="19">
        <v>684</v>
      </c>
      <c r="H112" s="19">
        <v>792</v>
      </c>
      <c r="L112" s="5"/>
    </row>
    <row r="113" spans="1:12" ht="12.6" customHeight="1">
      <c r="A113" s="7">
        <v>112</v>
      </c>
      <c r="B113" s="8" t="s">
        <v>8</v>
      </c>
      <c r="C113" s="31" t="s">
        <v>124</v>
      </c>
      <c r="D113" s="14">
        <v>20052000</v>
      </c>
      <c r="E113" s="18"/>
      <c r="F113" s="18">
        <v>72</v>
      </c>
      <c r="G113" s="19">
        <v>684</v>
      </c>
      <c r="H113" s="19">
        <v>792</v>
      </c>
      <c r="L113" s="5"/>
    </row>
    <row r="114" spans="1:12" ht="12.6" customHeight="1">
      <c r="A114" s="7">
        <v>113</v>
      </c>
      <c r="B114" s="8" t="s">
        <v>8</v>
      </c>
      <c r="C114" s="31" t="s">
        <v>125</v>
      </c>
      <c r="D114" s="14">
        <v>20052000</v>
      </c>
      <c r="E114" s="18"/>
      <c r="F114" s="18">
        <v>72</v>
      </c>
      <c r="G114" s="19">
        <v>684</v>
      </c>
      <c r="H114" s="19">
        <v>792</v>
      </c>
      <c r="L114" s="5"/>
    </row>
    <row r="115" spans="1:12" ht="12.6" customHeight="1">
      <c r="A115" s="7">
        <v>114</v>
      </c>
      <c r="B115" s="8" t="s">
        <v>8</v>
      </c>
      <c r="C115" s="31" t="s">
        <v>126</v>
      </c>
      <c r="D115" s="14">
        <v>20052000</v>
      </c>
      <c r="E115" s="18"/>
      <c r="F115" s="18">
        <v>72</v>
      </c>
      <c r="G115" s="19">
        <v>684</v>
      </c>
      <c r="H115" s="19">
        <v>792</v>
      </c>
      <c r="L115" s="5"/>
    </row>
    <row r="116" spans="1:12" ht="12.6" customHeight="1">
      <c r="A116" s="7">
        <v>115</v>
      </c>
      <c r="B116" s="8" t="s">
        <v>8</v>
      </c>
      <c r="C116" s="31" t="s">
        <v>127</v>
      </c>
      <c r="D116" s="14">
        <v>20052000</v>
      </c>
      <c r="E116" s="18"/>
      <c r="F116" s="18">
        <v>72</v>
      </c>
      <c r="G116" s="19">
        <v>684</v>
      </c>
      <c r="H116" s="19">
        <v>792</v>
      </c>
      <c r="L116" s="5"/>
    </row>
    <row r="117" spans="1:12" ht="12.6" customHeight="1">
      <c r="A117" s="7">
        <v>116</v>
      </c>
      <c r="B117" s="8" t="s">
        <v>8</v>
      </c>
      <c r="C117" s="31" t="s">
        <v>128</v>
      </c>
      <c r="D117" s="14">
        <v>20052000</v>
      </c>
      <c r="E117" s="18"/>
      <c r="F117" s="18">
        <v>20</v>
      </c>
      <c r="G117" s="19">
        <v>592.59</v>
      </c>
      <c r="H117" s="19">
        <v>640</v>
      </c>
      <c r="L117" s="5"/>
    </row>
    <row r="118" spans="1:12" ht="12.6" customHeight="1">
      <c r="A118" s="7">
        <v>117</v>
      </c>
      <c r="B118" s="8" t="s">
        <v>8</v>
      </c>
      <c r="C118" s="31" t="s">
        <v>129</v>
      </c>
      <c r="D118" s="14">
        <v>20052000</v>
      </c>
      <c r="E118" s="18"/>
      <c r="F118" s="18">
        <v>20</v>
      </c>
      <c r="G118" s="19">
        <v>592.59</v>
      </c>
      <c r="H118" s="19">
        <v>640</v>
      </c>
      <c r="L118" s="5"/>
    </row>
    <row r="119" spans="1:12" ht="12.6" customHeight="1">
      <c r="A119" s="7">
        <v>118</v>
      </c>
      <c r="B119" s="8" t="s">
        <v>8</v>
      </c>
      <c r="C119" s="31" t="s">
        <v>130</v>
      </c>
      <c r="D119" s="14">
        <v>20052000</v>
      </c>
      <c r="E119" s="18"/>
      <c r="F119" s="18">
        <v>20</v>
      </c>
      <c r="G119" s="19">
        <v>592.59</v>
      </c>
      <c r="H119" s="19">
        <v>640</v>
      </c>
      <c r="L119" s="5"/>
    </row>
    <row r="120" spans="1:12" ht="12.6" customHeight="1">
      <c r="A120" s="7">
        <v>119</v>
      </c>
      <c r="B120" s="8" t="s">
        <v>8</v>
      </c>
      <c r="C120" s="31" t="s">
        <v>131</v>
      </c>
      <c r="D120" s="14">
        <v>20052000</v>
      </c>
      <c r="E120" s="18"/>
      <c r="F120" s="18">
        <v>20</v>
      </c>
      <c r="G120" s="19">
        <v>592.59</v>
      </c>
      <c r="H120" s="19">
        <v>640</v>
      </c>
      <c r="L120" s="5"/>
    </row>
    <row r="121" spans="1:12" ht="12.6" customHeight="1">
      <c r="A121" s="7">
        <v>120</v>
      </c>
      <c r="B121" s="8" t="s">
        <v>8</v>
      </c>
      <c r="C121" s="31" t="s">
        <v>132</v>
      </c>
      <c r="D121" s="14">
        <v>20052000</v>
      </c>
      <c r="E121" s="18"/>
      <c r="F121" s="18">
        <v>20</v>
      </c>
      <c r="G121" s="19">
        <v>592.59</v>
      </c>
      <c r="H121" s="19">
        <v>640</v>
      </c>
      <c r="L121" s="5"/>
    </row>
    <row r="122" spans="1:12" ht="12.6" customHeight="1">
      <c r="A122" s="7">
        <v>121</v>
      </c>
      <c r="B122" s="8" t="s">
        <v>8</v>
      </c>
      <c r="C122" s="31" t="s">
        <v>133</v>
      </c>
      <c r="D122" s="14">
        <v>21069099</v>
      </c>
      <c r="E122" s="18"/>
      <c r="F122" s="18">
        <v>20</v>
      </c>
      <c r="G122" s="19">
        <v>740.74</v>
      </c>
      <c r="H122" s="19">
        <v>800</v>
      </c>
      <c r="L122" s="5"/>
    </row>
    <row r="123" spans="1:12" ht="12.6" customHeight="1">
      <c r="A123" s="7">
        <v>122</v>
      </c>
      <c r="B123" s="8" t="s">
        <v>9</v>
      </c>
      <c r="C123" s="31" t="s">
        <v>134</v>
      </c>
      <c r="D123" s="14">
        <v>21069099</v>
      </c>
      <c r="E123" s="18"/>
      <c r="F123" s="18">
        <v>72</v>
      </c>
      <c r="G123" s="19">
        <v>277.55</v>
      </c>
      <c r="H123" s="19">
        <v>299.75</v>
      </c>
      <c r="L123" s="5"/>
    </row>
    <row r="124" spans="1:12" ht="12.6" customHeight="1">
      <c r="A124" s="7">
        <v>123</v>
      </c>
      <c r="B124" s="8" t="s">
        <v>9</v>
      </c>
      <c r="C124" s="31" t="s">
        <v>135</v>
      </c>
      <c r="D124" s="14">
        <v>21069099</v>
      </c>
      <c r="E124" s="18"/>
      <c r="F124" s="18">
        <v>72</v>
      </c>
      <c r="G124" s="19">
        <v>277.55</v>
      </c>
      <c r="H124" s="19">
        <v>299.75</v>
      </c>
      <c r="L124" s="5"/>
    </row>
    <row r="125" spans="1:12" ht="12.6" customHeight="1">
      <c r="A125" s="7">
        <v>124</v>
      </c>
      <c r="B125" s="8" t="s">
        <v>9</v>
      </c>
      <c r="C125" s="31" t="s">
        <v>136</v>
      </c>
      <c r="D125" s="14">
        <v>21069099</v>
      </c>
      <c r="E125" s="18"/>
      <c r="F125" s="18">
        <v>96</v>
      </c>
      <c r="G125" s="19">
        <v>370.06</v>
      </c>
      <c r="H125" s="19">
        <v>399.67</v>
      </c>
      <c r="L125" s="5"/>
    </row>
    <row r="126" spans="1:12" ht="12.6" customHeight="1">
      <c r="A126" s="7">
        <v>125</v>
      </c>
      <c r="B126" s="8" t="s">
        <v>9</v>
      </c>
      <c r="C126" s="31" t="s">
        <v>137</v>
      </c>
      <c r="D126" s="14">
        <v>21069099</v>
      </c>
      <c r="E126" s="18"/>
      <c r="F126" s="18">
        <v>72</v>
      </c>
      <c r="G126" s="19">
        <v>277.55</v>
      </c>
      <c r="H126" s="19">
        <v>299.75</v>
      </c>
      <c r="L126" s="5"/>
    </row>
    <row r="127" spans="1:12" ht="12.6" customHeight="1">
      <c r="A127" s="7">
        <v>126</v>
      </c>
      <c r="B127" s="8" t="s">
        <v>9</v>
      </c>
      <c r="C127" s="31" t="s">
        <v>138</v>
      </c>
      <c r="D127" s="14">
        <v>21069099</v>
      </c>
      <c r="E127" s="18"/>
      <c r="F127" s="18">
        <v>96</v>
      </c>
      <c r="G127" s="19">
        <v>370.06</v>
      </c>
      <c r="H127" s="19">
        <v>399.67</v>
      </c>
      <c r="L127" s="5"/>
    </row>
    <row r="128" spans="1:12" ht="12.6" customHeight="1">
      <c r="A128" s="7">
        <v>127</v>
      </c>
      <c r="B128" s="8" t="s">
        <v>9</v>
      </c>
      <c r="C128" s="31" t="s">
        <v>139</v>
      </c>
      <c r="D128" s="14">
        <v>21069099</v>
      </c>
      <c r="E128" s="18"/>
      <c r="F128" s="18">
        <v>96</v>
      </c>
      <c r="G128" s="19">
        <v>370.06</v>
      </c>
      <c r="H128" s="19">
        <v>399.67</v>
      </c>
      <c r="L128" s="5"/>
    </row>
    <row r="129" spans="1:12" ht="12.6" customHeight="1">
      <c r="A129" s="7">
        <v>128</v>
      </c>
      <c r="B129" s="8" t="s">
        <v>9</v>
      </c>
      <c r="C129" s="31" t="s">
        <v>140</v>
      </c>
      <c r="D129" s="14">
        <v>21069099</v>
      </c>
      <c r="E129" s="18"/>
      <c r="F129" s="18">
        <v>96</v>
      </c>
      <c r="G129" s="19">
        <v>370.06</v>
      </c>
      <c r="H129" s="19">
        <v>399.67</v>
      </c>
      <c r="L129" s="5"/>
    </row>
    <row r="130" spans="1:12" ht="12.6" customHeight="1">
      <c r="A130" s="7">
        <v>129</v>
      </c>
      <c r="B130" s="8" t="s">
        <v>9</v>
      </c>
      <c r="C130" s="31" t="s">
        <v>141</v>
      </c>
      <c r="D130" s="14">
        <v>21069099</v>
      </c>
      <c r="E130" s="18"/>
      <c r="F130" s="18">
        <v>96</v>
      </c>
      <c r="G130" s="19">
        <v>370.06</v>
      </c>
      <c r="H130" s="19">
        <v>399.67</v>
      </c>
      <c r="L130" s="5"/>
    </row>
    <row r="131" spans="1:12" ht="12.6" customHeight="1">
      <c r="A131" s="7">
        <v>130</v>
      </c>
      <c r="B131" s="8" t="s">
        <v>9</v>
      </c>
      <c r="C131" s="31" t="s">
        <v>142</v>
      </c>
      <c r="D131" s="14">
        <v>21069099</v>
      </c>
      <c r="E131" s="18"/>
      <c r="F131" s="18">
        <v>72</v>
      </c>
      <c r="G131" s="19">
        <v>277.55</v>
      </c>
      <c r="H131" s="19">
        <v>299.75</v>
      </c>
      <c r="L131" s="5"/>
    </row>
    <row r="132" spans="1:12" ht="12.6" customHeight="1">
      <c r="A132" s="7">
        <v>131</v>
      </c>
      <c r="B132" s="8" t="s">
        <v>9</v>
      </c>
      <c r="C132" s="31" t="s">
        <v>143</v>
      </c>
      <c r="D132" s="14">
        <v>21069099</v>
      </c>
      <c r="E132" s="18"/>
      <c r="F132" s="18">
        <v>96</v>
      </c>
      <c r="G132" s="19">
        <v>370.06</v>
      </c>
      <c r="H132" s="19">
        <v>399.67</v>
      </c>
      <c r="L132" s="5"/>
    </row>
    <row r="133" spans="1:12" ht="12.6" customHeight="1">
      <c r="A133" s="7">
        <v>132</v>
      </c>
      <c r="B133" s="8" t="s">
        <v>9</v>
      </c>
      <c r="C133" s="31" t="s">
        <v>144</v>
      </c>
      <c r="D133" s="14">
        <v>21069099</v>
      </c>
      <c r="E133" s="18"/>
      <c r="F133" s="18">
        <v>96</v>
      </c>
      <c r="G133" s="19">
        <v>370.06</v>
      </c>
      <c r="H133" s="19">
        <v>399.67</v>
      </c>
      <c r="L133" s="5"/>
    </row>
    <row r="134" spans="1:12" ht="12.6" customHeight="1">
      <c r="A134" s="7">
        <v>133</v>
      </c>
      <c r="B134" s="8" t="s">
        <v>9</v>
      </c>
      <c r="C134" s="31" t="s">
        <v>145</v>
      </c>
      <c r="D134" s="14">
        <v>21069099</v>
      </c>
      <c r="E134" s="18"/>
      <c r="F134" s="18">
        <v>96</v>
      </c>
      <c r="G134" s="19">
        <v>370.06</v>
      </c>
      <c r="H134" s="19">
        <v>399.67</v>
      </c>
      <c r="L134" s="5"/>
    </row>
    <row r="135" spans="1:12" ht="12.6" customHeight="1">
      <c r="A135" s="7">
        <v>134</v>
      </c>
      <c r="B135" s="8" t="s">
        <v>9</v>
      </c>
      <c r="C135" s="31" t="s">
        <v>146</v>
      </c>
      <c r="D135" s="14">
        <v>21069099</v>
      </c>
      <c r="E135" s="18"/>
      <c r="F135" s="18">
        <v>48</v>
      </c>
      <c r="G135" s="19">
        <v>355.56</v>
      </c>
      <c r="H135" s="19">
        <v>384</v>
      </c>
      <c r="L135" s="5"/>
    </row>
    <row r="136" spans="1:12" ht="12.6" customHeight="1">
      <c r="A136" s="7">
        <v>135</v>
      </c>
      <c r="B136" s="8" t="s">
        <v>9</v>
      </c>
      <c r="C136" s="31" t="s">
        <v>147</v>
      </c>
      <c r="D136" s="14">
        <v>21069099</v>
      </c>
      <c r="E136" s="18"/>
      <c r="F136" s="18">
        <v>48</v>
      </c>
      <c r="G136" s="19">
        <v>355.56</v>
      </c>
      <c r="H136" s="19">
        <v>384</v>
      </c>
      <c r="L136" s="5"/>
    </row>
    <row r="137" spans="1:12" ht="12.6" customHeight="1">
      <c r="A137" s="7">
        <v>136</v>
      </c>
      <c r="B137" s="8" t="s">
        <v>9</v>
      </c>
      <c r="C137" s="31" t="s">
        <v>148</v>
      </c>
      <c r="D137" s="14">
        <v>21069099</v>
      </c>
      <c r="E137" s="18"/>
      <c r="F137" s="18">
        <v>48</v>
      </c>
      <c r="G137" s="19">
        <v>355.56</v>
      </c>
      <c r="H137" s="19">
        <v>384</v>
      </c>
      <c r="L137" s="5"/>
    </row>
    <row r="138" spans="1:12" ht="12.6" customHeight="1">
      <c r="A138" s="7">
        <v>137</v>
      </c>
      <c r="B138" s="8" t="s">
        <v>9</v>
      </c>
      <c r="C138" s="31" t="s">
        <v>149</v>
      </c>
      <c r="D138" s="14">
        <v>21069099</v>
      </c>
      <c r="E138" s="18"/>
      <c r="F138" s="18">
        <v>48</v>
      </c>
      <c r="G138" s="19">
        <v>355.56</v>
      </c>
      <c r="H138" s="19">
        <v>384</v>
      </c>
      <c r="L138" s="5"/>
    </row>
    <row r="139" spans="1:12" ht="12.6" customHeight="1">
      <c r="A139" s="7">
        <v>138</v>
      </c>
      <c r="B139" s="8" t="s">
        <v>9</v>
      </c>
      <c r="C139" s="31" t="s">
        <v>150</v>
      </c>
      <c r="D139" s="14">
        <v>21069099</v>
      </c>
      <c r="E139" s="18"/>
      <c r="F139" s="18">
        <v>48</v>
      </c>
      <c r="G139" s="19">
        <v>355.56</v>
      </c>
      <c r="H139" s="19">
        <v>384</v>
      </c>
      <c r="L139" s="5"/>
    </row>
    <row r="140" spans="1:12" ht="12.6" customHeight="1">
      <c r="A140" s="7">
        <v>139</v>
      </c>
      <c r="B140" s="8" t="s">
        <v>9</v>
      </c>
      <c r="C140" s="31" t="s">
        <v>151</v>
      </c>
      <c r="D140" s="14">
        <v>21069099</v>
      </c>
      <c r="E140" s="18"/>
      <c r="F140" s="18">
        <v>48</v>
      </c>
      <c r="G140" s="19">
        <v>355.56</v>
      </c>
      <c r="H140" s="19">
        <v>384</v>
      </c>
      <c r="L140" s="5"/>
    </row>
    <row r="141" spans="1:12" ht="12.6" customHeight="1">
      <c r="A141" s="7">
        <v>140</v>
      </c>
      <c r="B141" s="8" t="s">
        <v>10</v>
      </c>
      <c r="C141" s="31" t="s">
        <v>152</v>
      </c>
      <c r="D141" s="14">
        <v>21069099</v>
      </c>
      <c r="E141" s="18"/>
      <c r="F141" s="18">
        <v>72</v>
      </c>
      <c r="G141" s="19">
        <v>266.67</v>
      </c>
      <c r="H141" s="19">
        <v>288</v>
      </c>
      <c r="L141" s="5"/>
    </row>
    <row r="142" spans="1:12" ht="12.6" customHeight="1">
      <c r="A142" s="7">
        <v>141</v>
      </c>
      <c r="B142" s="8" t="s">
        <v>10</v>
      </c>
      <c r="C142" s="31" t="s">
        <v>153</v>
      </c>
      <c r="D142" s="14">
        <v>21069099</v>
      </c>
      <c r="E142" s="18"/>
      <c r="F142" s="18">
        <v>72</v>
      </c>
      <c r="G142" s="19">
        <v>266.67</v>
      </c>
      <c r="H142" s="19">
        <v>288</v>
      </c>
      <c r="L142" s="5"/>
    </row>
    <row r="143" spans="1:12" ht="12.6" customHeight="1">
      <c r="A143" s="7">
        <v>142</v>
      </c>
      <c r="B143" s="8" t="s">
        <v>10</v>
      </c>
      <c r="C143" s="31" t="s">
        <v>154</v>
      </c>
      <c r="D143" s="14">
        <v>21069099</v>
      </c>
      <c r="E143" s="18"/>
      <c r="F143" s="18">
        <v>72</v>
      </c>
      <c r="G143" s="19">
        <v>533.33000000000004</v>
      </c>
      <c r="H143" s="19">
        <v>576</v>
      </c>
      <c r="L143" s="5"/>
    </row>
    <row r="144" spans="1:12" ht="12.6" customHeight="1">
      <c r="A144" s="7">
        <v>143</v>
      </c>
      <c r="B144" s="8" t="s">
        <v>10</v>
      </c>
      <c r="C144" s="31" t="s">
        <v>155</v>
      </c>
      <c r="D144" s="14">
        <v>21069099</v>
      </c>
      <c r="E144" s="18"/>
      <c r="F144" s="18">
        <v>72</v>
      </c>
      <c r="G144" s="19">
        <v>533.33000000000004</v>
      </c>
      <c r="H144" s="19">
        <v>576</v>
      </c>
      <c r="L144" s="5"/>
    </row>
    <row r="145" spans="1:12" ht="12.6" customHeight="1">
      <c r="A145" s="7">
        <v>144</v>
      </c>
      <c r="B145" s="8" t="s">
        <v>11</v>
      </c>
      <c r="C145" s="31" t="s">
        <v>156</v>
      </c>
      <c r="D145" s="14">
        <v>21069099</v>
      </c>
      <c r="E145" s="18"/>
      <c r="F145" s="18">
        <v>108</v>
      </c>
      <c r="G145" s="19">
        <v>408.16</v>
      </c>
      <c r="H145" s="19">
        <v>440.82</v>
      </c>
      <c r="L145" s="5"/>
    </row>
    <row r="146" spans="1:12" ht="12.6" customHeight="1">
      <c r="A146" s="7">
        <v>145</v>
      </c>
      <c r="B146" s="8" t="s">
        <v>11</v>
      </c>
      <c r="C146" s="31" t="s">
        <v>157</v>
      </c>
      <c r="D146" s="14">
        <v>20081990</v>
      </c>
      <c r="E146" s="18"/>
      <c r="F146" s="18">
        <v>108</v>
      </c>
      <c r="G146" s="19">
        <v>408.16</v>
      </c>
      <c r="H146" s="19">
        <v>440.82</v>
      </c>
      <c r="L146" s="5"/>
    </row>
    <row r="147" spans="1:12" ht="12.6" customHeight="1">
      <c r="A147" s="7">
        <v>146</v>
      </c>
      <c r="B147" s="8" t="s">
        <v>12</v>
      </c>
      <c r="C147" s="31" t="s">
        <v>158</v>
      </c>
      <c r="D147" s="14">
        <v>19053211</v>
      </c>
      <c r="E147" s="18"/>
      <c r="F147" s="18">
        <v>72</v>
      </c>
      <c r="G147" s="19">
        <v>266.67</v>
      </c>
      <c r="H147" s="19">
        <v>288</v>
      </c>
      <c r="L147" s="5"/>
    </row>
    <row r="148" spans="1:12" ht="12.6" customHeight="1">
      <c r="A148" s="7">
        <v>147</v>
      </c>
      <c r="B148" s="8" t="s">
        <v>13</v>
      </c>
      <c r="C148" s="31" t="s">
        <v>159</v>
      </c>
      <c r="D148" s="14">
        <v>19053211</v>
      </c>
      <c r="E148" s="18"/>
      <c r="F148" s="18">
        <v>360</v>
      </c>
      <c r="G148" s="19">
        <v>1250.1199999999999</v>
      </c>
      <c r="H148" s="19">
        <v>1350.13</v>
      </c>
      <c r="L148" s="5"/>
    </row>
    <row r="149" spans="1:12" ht="12.6" customHeight="1">
      <c r="A149" s="7">
        <v>148</v>
      </c>
      <c r="B149" s="8" t="s">
        <v>13</v>
      </c>
      <c r="C149" s="31" t="s">
        <v>160</v>
      </c>
      <c r="D149" s="14">
        <v>19053211</v>
      </c>
      <c r="E149" s="18"/>
      <c r="F149" s="18">
        <v>360</v>
      </c>
      <c r="G149" s="19">
        <v>1250.1199999999999</v>
      </c>
      <c r="H149" s="19">
        <v>1350.13</v>
      </c>
      <c r="L149" s="5"/>
    </row>
    <row r="150" spans="1:12" ht="12.6" customHeight="1">
      <c r="A150" s="7">
        <v>149</v>
      </c>
      <c r="B150" s="8" t="s">
        <v>13</v>
      </c>
      <c r="C150" s="31" t="s">
        <v>161</v>
      </c>
      <c r="D150" s="14">
        <v>19053211</v>
      </c>
      <c r="E150" s="18"/>
      <c r="F150" s="18">
        <v>360</v>
      </c>
      <c r="G150" s="19">
        <v>1250.1199999999999</v>
      </c>
      <c r="H150" s="19">
        <v>1350.13</v>
      </c>
      <c r="L150" s="5"/>
    </row>
    <row r="151" spans="1:12" ht="12.6" customHeight="1">
      <c r="A151" s="7">
        <v>150</v>
      </c>
      <c r="B151" s="8" t="s">
        <v>13</v>
      </c>
      <c r="C151" s="31" t="s">
        <v>162</v>
      </c>
      <c r="D151" s="14">
        <v>19059020</v>
      </c>
      <c r="E151" s="18"/>
      <c r="F151" s="18">
        <v>240</v>
      </c>
      <c r="G151" s="19">
        <v>888.89</v>
      </c>
      <c r="H151" s="19">
        <v>960</v>
      </c>
      <c r="L151" s="5"/>
    </row>
    <row r="152" spans="1:12" ht="12.6" customHeight="1">
      <c r="A152" s="7">
        <v>151</v>
      </c>
      <c r="B152" s="8" t="s">
        <v>14</v>
      </c>
      <c r="C152" s="31" t="s">
        <v>163</v>
      </c>
      <c r="D152" s="14">
        <v>19054000</v>
      </c>
      <c r="E152" s="18"/>
      <c r="F152" s="18">
        <v>192</v>
      </c>
      <c r="G152" s="19">
        <v>1422.22</v>
      </c>
      <c r="H152" s="19">
        <v>1536</v>
      </c>
      <c r="L152" s="5"/>
    </row>
    <row r="153" spans="1:12" ht="12.6" customHeight="1">
      <c r="A153" s="7">
        <v>152</v>
      </c>
      <c r="B153" s="8" t="s">
        <v>14</v>
      </c>
      <c r="C153" s="31" t="s">
        <v>164</v>
      </c>
      <c r="D153" s="14">
        <v>19054000</v>
      </c>
      <c r="E153" s="18"/>
      <c r="F153" s="18">
        <v>192</v>
      </c>
      <c r="G153" s="19">
        <v>1422.22</v>
      </c>
      <c r="H153" s="19">
        <v>1536</v>
      </c>
      <c r="L153" s="5"/>
    </row>
    <row r="154" spans="1:12" ht="12.6" customHeight="1">
      <c r="A154" s="7">
        <v>153</v>
      </c>
      <c r="B154" s="8" t="s">
        <v>14</v>
      </c>
      <c r="C154" s="31" t="s">
        <v>165</v>
      </c>
      <c r="D154" s="14">
        <v>19059020</v>
      </c>
      <c r="E154" s="18"/>
      <c r="F154" s="18">
        <v>24</v>
      </c>
      <c r="G154" s="19">
        <v>1511.11</v>
      </c>
      <c r="H154" s="19">
        <v>1632</v>
      </c>
      <c r="L154" s="5"/>
    </row>
    <row r="155" spans="1:12" ht="12.6" customHeight="1">
      <c r="A155" s="7">
        <v>154</v>
      </c>
      <c r="B155" s="8" t="s">
        <v>14</v>
      </c>
      <c r="C155" s="31" t="s">
        <v>166</v>
      </c>
      <c r="D155" s="14">
        <v>19059020</v>
      </c>
      <c r="E155" s="18"/>
      <c r="F155" s="18">
        <v>24</v>
      </c>
      <c r="G155" s="19">
        <v>1333.33</v>
      </c>
      <c r="H155" s="19">
        <v>1440</v>
      </c>
      <c r="L155" s="5"/>
    </row>
    <row r="156" spans="1:12" ht="12.6" customHeight="1">
      <c r="A156" s="7">
        <v>155</v>
      </c>
      <c r="B156" s="8" t="s">
        <v>14</v>
      </c>
      <c r="C156" s="31" t="s">
        <v>167</v>
      </c>
      <c r="D156" s="14">
        <v>19059020</v>
      </c>
      <c r="E156" s="18"/>
      <c r="F156" s="18">
        <v>24</v>
      </c>
      <c r="G156" s="19">
        <v>2133.33</v>
      </c>
      <c r="H156" s="19">
        <v>2304</v>
      </c>
      <c r="L156" s="5"/>
    </row>
    <row r="157" spans="1:12" ht="12.6" customHeight="1">
      <c r="A157" s="7">
        <v>156</v>
      </c>
      <c r="B157" s="8" t="s">
        <v>15</v>
      </c>
      <c r="C157" s="31" t="s">
        <v>168</v>
      </c>
      <c r="D157" s="14">
        <v>17049020</v>
      </c>
      <c r="E157" s="18"/>
      <c r="F157" s="18">
        <v>480</v>
      </c>
      <c r="G157" s="19">
        <v>1527.81</v>
      </c>
      <c r="H157" s="19">
        <v>1650.03</v>
      </c>
      <c r="L157" s="5"/>
    </row>
    <row r="158" spans="1:12" ht="12.6" customHeight="1">
      <c r="A158" s="7">
        <v>157</v>
      </c>
      <c r="B158" s="8" t="s">
        <v>15</v>
      </c>
      <c r="C158" s="31" t="s">
        <v>169</v>
      </c>
      <c r="D158" s="14">
        <v>17049020</v>
      </c>
      <c r="E158" s="18"/>
      <c r="F158" s="18">
        <v>480</v>
      </c>
      <c r="G158" s="19">
        <v>1527.81</v>
      </c>
      <c r="H158" s="19">
        <v>1650.03</v>
      </c>
      <c r="L158" s="5"/>
    </row>
    <row r="159" spans="1:12" ht="12.6" customHeight="1">
      <c r="A159" s="7">
        <v>158</v>
      </c>
      <c r="B159" s="8" t="s">
        <v>15</v>
      </c>
      <c r="C159" s="31" t="s">
        <v>170</v>
      </c>
      <c r="D159" s="14">
        <v>17049020</v>
      </c>
      <c r="E159" s="18"/>
      <c r="F159" s="18">
        <v>480</v>
      </c>
      <c r="G159" s="19">
        <v>1772.22</v>
      </c>
      <c r="H159" s="19">
        <v>1914</v>
      </c>
      <c r="L159" s="5"/>
    </row>
    <row r="160" spans="1:12" ht="12.6" customHeight="1">
      <c r="A160" s="9">
        <v>159</v>
      </c>
      <c r="B160" s="10" t="s">
        <v>15</v>
      </c>
      <c r="C160" s="31" t="s">
        <v>171</v>
      </c>
      <c r="D160" s="15">
        <v>17049020</v>
      </c>
      <c r="E160" s="20"/>
      <c r="F160" s="20">
        <v>24</v>
      </c>
      <c r="G160" s="21">
        <v>2133.33</v>
      </c>
      <c r="H160" s="21">
        <v>2304</v>
      </c>
      <c r="L160" s="5"/>
    </row>
    <row r="161" spans="1:12" ht="12.6" customHeight="1">
      <c r="A161" s="11">
        <v>160</v>
      </c>
      <c r="B161" s="10" t="s">
        <v>15</v>
      </c>
      <c r="C161" s="31" t="s">
        <v>172</v>
      </c>
      <c r="D161" s="16">
        <v>17049020</v>
      </c>
      <c r="E161" s="22"/>
      <c r="F161" s="22">
        <v>24</v>
      </c>
      <c r="G161" s="22">
        <v>2133.33</v>
      </c>
      <c r="H161" s="22">
        <v>2304</v>
      </c>
      <c r="L161" s="5"/>
    </row>
    <row r="162" spans="1:12" ht="12.6" customHeight="1">
      <c r="A162" s="12">
        <v>161</v>
      </c>
      <c r="B162" s="13" t="s">
        <v>15</v>
      </c>
      <c r="C162" s="31" t="s">
        <v>173</v>
      </c>
      <c r="D162" s="17">
        <v>17049020</v>
      </c>
      <c r="E162" s="23"/>
      <c r="F162" s="23">
        <v>24</v>
      </c>
      <c r="G162" s="24">
        <v>2488.89</v>
      </c>
      <c r="H162" s="24">
        <v>2688</v>
      </c>
      <c r="L162" s="5"/>
    </row>
    <row r="163" spans="1:12" ht="12.6" customHeight="1">
      <c r="A163" s="7">
        <v>162</v>
      </c>
      <c r="B163" s="8" t="s">
        <v>15</v>
      </c>
      <c r="C163" s="31" t="s">
        <v>174</v>
      </c>
      <c r="D163" s="14">
        <v>21069099</v>
      </c>
      <c r="E163" s="18"/>
      <c r="F163" s="18">
        <v>60</v>
      </c>
      <c r="G163" s="19">
        <v>2090.4</v>
      </c>
      <c r="H163" s="19">
        <v>2215.8200000000002</v>
      </c>
      <c r="L163" s="5"/>
    </row>
    <row r="164" spans="1:12" ht="12.6" customHeight="1">
      <c r="A164" s="7">
        <v>163</v>
      </c>
      <c r="B164" s="8" t="s">
        <v>15</v>
      </c>
      <c r="C164" s="31" t="s">
        <v>175</v>
      </c>
      <c r="D164" s="14">
        <v>21069099</v>
      </c>
      <c r="E164" s="18"/>
      <c r="F164" s="18">
        <v>32</v>
      </c>
      <c r="G164" s="19">
        <v>2241.41</v>
      </c>
      <c r="H164" s="19">
        <v>2375.89</v>
      </c>
      <c r="L164" s="5"/>
    </row>
    <row r="165" spans="1:12" ht="12.6" customHeight="1">
      <c r="A165" s="7">
        <v>164</v>
      </c>
      <c r="B165" s="8" t="s">
        <v>15</v>
      </c>
      <c r="C165" s="31" t="s">
        <v>176</v>
      </c>
      <c r="D165" s="14">
        <v>21069099</v>
      </c>
      <c r="E165" s="18"/>
      <c r="F165" s="18">
        <v>60</v>
      </c>
      <c r="G165" s="19">
        <v>1996.8</v>
      </c>
      <c r="H165" s="19">
        <v>2116.61</v>
      </c>
      <c r="L165" s="5"/>
    </row>
    <row r="166" spans="1:12" ht="12.6" customHeight="1">
      <c r="A166" s="7">
        <v>165</v>
      </c>
      <c r="B166" s="8" t="s">
        <v>15</v>
      </c>
      <c r="C166" s="31" t="s">
        <v>177</v>
      </c>
      <c r="D166" s="14">
        <v>21069099</v>
      </c>
      <c r="E166" s="18"/>
      <c r="F166" s="18">
        <v>32</v>
      </c>
      <c r="G166" s="19">
        <v>2158.15</v>
      </c>
      <c r="H166" s="19">
        <v>2287.63</v>
      </c>
      <c r="L166" s="5"/>
    </row>
    <row r="167" spans="1:12" ht="12.6" customHeight="1">
      <c r="A167" s="7">
        <v>166</v>
      </c>
      <c r="B167" s="8" t="s">
        <v>15</v>
      </c>
      <c r="C167" s="31" t="s">
        <v>178</v>
      </c>
      <c r="D167" s="14">
        <v>21069099</v>
      </c>
      <c r="E167" s="18"/>
      <c r="F167" s="18">
        <v>18</v>
      </c>
      <c r="G167" s="19">
        <v>2274.48</v>
      </c>
      <c r="H167" s="19">
        <v>2410.9499999999998</v>
      </c>
      <c r="L167" s="5"/>
    </row>
    <row r="168" spans="1:12" ht="12.6" customHeight="1">
      <c r="A168" s="7">
        <v>167</v>
      </c>
      <c r="B168" s="8" t="s">
        <v>15</v>
      </c>
      <c r="C168" s="31" t="s">
        <v>179</v>
      </c>
      <c r="D168" s="14">
        <v>21069099</v>
      </c>
      <c r="E168" s="18"/>
      <c r="F168" s="18">
        <v>32</v>
      </c>
      <c r="G168" s="19">
        <v>2346.2399999999998</v>
      </c>
      <c r="H168" s="19">
        <v>2487.0100000000002</v>
      </c>
      <c r="L168" s="5"/>
    </row>
    <row r="169" spans="1:12" ht="12.6" customHeight="1">
      <c r="A169" s="7">
        <v>168</v>
      </c>
      <c r="B169" s="8" t="s">
        <v>15</v>
      </c>
      <c r="C169" s="31" t="s">
        <v>180</v>
      </c>
      <c r="D169" s="14">
        <v>21069099</v>
      </c>
      <c r="E169" s="18"/>
      <c r="F169" s="18">
        <v>18</v>
      </c>
      <c r="G169" s="19">
        <v>2508.48</v>
      </c>
      <c r="H169" s="19">
        <v>2658.99</v>
      </c>
      <c r="L169" s="5"/>
    </row>
    <row r="170" spans="1:12" ht="12.6" customHeight="1">
      <c r="A170" s="7">
        <v>169</v>
      </c>
      <c r="B170" s="8" t="s">
        <v>15</v>
      </c>
      <c r="C170" s="31" t="s">
        <v>181</v>
      </c>
      <c r="D170" s="14">
        <v>21069099</v>
      </c>
      <c r="E170" s="18"/>
      <c r="F170" s="18">
        <v>32</v>
      </c>
      <c r="G170" s="19">
        <v>2450.41</v>
      </c>
      <c r="H170" s="19">
        <v>2597.4299999999998</v>
      </c>
      <c r="L170" s="5"/>
    </row>
    <row r="171" spans="1:12" ht="12.6" customHeight="1">
      <c r="A171" s="7">
        <v>170</v>
      </c>
      <c r="B171" s="8" t="s">
        <v>16</v>
      </c>
      <c r="C171" s="31" t="s">
        <v>182</v>
      </c>
      <c r="D171" s="14">
        <v>19059040</v>
      </c>
      <c r="E171" s="18"/>
      <c r="F171" s="18">
        <v>200</v>
      </c>
      <c r="G171" s="19">
        <v>1481.48</v>
      </c>
      <c r="H171" s="19">
        <v>1600</v>
      </c>
      <c r="L171" s="5"/>
    </row>
    <row r="172" spans="1:12" ht="12.6" customHeight="1">
      <c r="A172" s="7">
        <v>171</v>
      </c>
      <c r="B172" s="8" t="s">
        <v>16</v>
      </c>
      <c r="C172" s="31" t="s">
        <v>183</v>
      </c>
      <c r="D172" s="14">
        <v>19059040</v>
      </c>
      <c r="E172" s="18"/>
      <c r="F172" s="18">
        <v>200</v>
      </c>
      <c r="G172" s="19">
        <v>1481.48</v>
      </c>
      <c r="H172" s="19">
        <v>1600</v>
      </c>
      <c r="L172" s="5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A13" sqref="A13:F13"/>
    </sheetView>
  </sheetViews>
  <sheetFormatPr defaultRowHeight="13.2"/>
  <cols>
    <col min="1" max="1" width="5" style="25" customWidth="1"/>
    <col min="2" max="2" width="37.77734375" style="25" customWidth="1"/>
    <col min="3" max="3" width="13.33203125" style="25" customWidth="1"/>
    <col min="4" max="4" width="10.88671875" style="25" customWidth="1"/>
    <col min="5" max="5" width="14" style="25" customWidth="1"/>
    <col min="6" max="6" width="12.6640625" style="25" customWidth="1"/>
    <col min="7" max="16384" width="8.88671875" style="25"/>
  </cols>
  <sheetData>
    <row r="1" spans="1:6" ht="18" customHeight="1">
      <c r="A1" s="48" t="s">
        <v>185</v>
      </c>
      <c r="B1" s="49"/>
      <c r="C1" s="49"/>
      <c r="D1" s="49"/>
      <c r="E1" s="49"/>
      <c r="F1" s="50"/>
    </row>
    <row r="2" spans="1:6" ht="18" customHeight="1">
      <c r="A2" s="51" t="s">
        <v>186</v>
      </c>
      <c r="B2" s="52"/>
      <c r="C2" s="52"/>
      <c r="D2" s="52"/>
      <c r="E2" s="53"/>
      <c r="F2" s="54"/>
    </row>
    <row r="3" spans="1:6" s="26" customFormat="1" ht="18" customHeight="1">
      <c r="A3" s="59" t="s">
        <v>187</v>
      </c>
      <c r="B3" s="60"/>
      <c r="C3" s="60"/>
      <c r="D3" s="60"/>
      <c r="E3" s="55"/>
      <c r="F3" s="56"/>
    </row>
    <row r="4" spans="1:6" s="26" customFormat="1" ht="18" customHeight="1">
      <c r="A4" s="59" t="s">
        <v>188</v>
      </c>
      <c r="B4" s="60"/>
      <c r="C4" s="60"/>
      <c r="D4" s="60"/>
      <c r="E4" s="55"/>
      <c r="F4" s="56"/>
    </row>
    <row r="5" spans="1:6" s="26" customFormat="1" ht="18" customHeight="1">
      <c r="A5" s="59" t="s">
        <v>189</v>
      </c>
      <c r="B5" s="60"/>
      <c r="C5" s="60"/>
      <c r="D5" s="60"/>
      <c r="E5" s="55"/>
      <c r="F5" s="56"/>
    </row>
    <row r="6" spans="1:6" s="26" customFormat="1" ht="18" customHeight="1">
      <c r="A6" s="59" t="s">
        <v>190</v>
      </c>
      <c r="B6" s="60"/>
      <c r="C6" s="60"/>
      <c r="D6" s="60"/>
      <c r="E6" s="55"/>
      <c r="F6" s="56"/>
    </row>
    <row r="7" spans="1:6" s="26" customFormat="1" ht="18" customHeight="1">
      <c r="A7" s="61" t="s">
        <v>191</v>
      </c>
      <c r="B7" s="62"/>
      <c r="C7" s="62"/>
      <c r="D7" s="62"/>
      <c r="E7" s="57"/>
      <c r="F7" s="58"/>
    </row>
    <row r="8" spans="1:6" s="26" customFormat="1" ht="16.8" customHeight="1">
      <c r="A8" s="63" t="s">
        <v>192</v>
      </c>
      <c r="B8" s="60"/>
      <c r="C8" s="60"/>
      <c r="D8" s="60"/>
      <c r="E8" s="60"/>
      <c r="F8" s="64"/>
    </row>
    <row r="9" spans="1:6" s="26" customFormat="1" ht="16.8" customHeight="1">
      <c r="A9" s="63" t="s">
        <v>193</v>
      </c>
      <c r="B9" s="60"/>
      <c r="C9" s="60"/>
      <c r="D9" s="60"/>
      <c r="E9" s="60"/>
      <c r="F9" s="64"/>
    </row>
    <row r="10" spans="1:6" s="26" customFormat="1" ht="16.8" customHeight="1">
      <c r="A10" s="63" t="s">
        <v>194</v>
      </c>
      <c r="B10" s="60"/>
      <c r="C10" s="60"/>
      <c r="D10" s="60"/>
      <c r="E10" s="60"/>
      <c r="F10" s="64"/>
    </row>
    <row r="11" spans="1:6" s="26" customFormat="1" ht="16.8" customHeight="1">
      <c r="A11" s="63" t="s">
        <v>195</v>
      </c>
      <c r="B11" s="60"/>
      <c r="C11" s="60"/>
      <c r="D11" s="60"/>
      <c r="E11" s="60"/>
      <c r="F11" s="64"/>
    </row>
    <row r="12" spans="1:6" s="26" customFormat="1" ht="16.8" customHeight="1" thickBot="1">
      <c r="A12" s="65" t="s">
        <v>196</v>
      </c>
      <c r="B12" s="66"/>
      <c r="C12" s="66"/>
      <c r="D12" s="66"/>
      <c r="E12" s="66"/>
      <c r="F12" s="67"/>
    </row>
    <row r="13" spans="1:6" ht="19.8" customHeight="1">
      <c r="A13" s="45" t="s">
        <v>206</v>
      </c>
      <c r="B13" s="46"/>
      <c r="C13" s="46"/>
      <c r="D13" s="46"/>
      <c r="E13" s="46"/>
      <c r="F13" s="47"/>
    </row>
    <row r="14" spans="1:6" ht="27.6" customHeight="1">
      <c r="A14" s="27" t="s">
        <v>203</v>
      </c>
      <c r="B14" s="28" t="s">
        <v>1</v>
      </c>
      <c r="C14" s="28" t="s">
        <v>201</v>
      </c>
      <c r="D14" s="28" t="s">
        <v>202</v>
      </c>
      <c r="E14" s="69" t="s">
        <v>204</v>
      </c>
      <c r="F14" s="69"/>
    </row>
    <row r="15" spans="1:6" s="29" customFormat="1" ht="15.6" customHeight="1">
      <c r="A15" s="36">
        <v>1</v>
      </c>
      <c r="B15" s="37" t="s">
        <v>25</v>
      </c>
      <c r="C15" s="38">
        <v>1</v>
      </c>
      <c r="D15" s="39">
        <v>720</v>
      </c>
      <c r="E15" s="68">
        <f>D15*C15</f>
        <v>720</v>
      </c>
      <c r="F15" s="68"/>
    </row>
    <row r="16" spans="1:6" s="29" customFormat="1" ht="15.6" customHeight="1">
      <c r="A16" s="40">
        <v>2</v>
      </c>
      <c r="B16" s="41" t="s">
        <v>28</v>
      </c>
      <c r="C16" s="38">
        <v>1</v>
      </c>
      <c r="D16" s="39">
        <v>576</v>
      </c>
      <c r="E16" s="68">
        <f t="shared" ref="E16:E34" si="0">D16*C16</f>
        <v>576</v>
      </c>
      <c r="F16" s="68"/>
    </row>
    <row r="17" spans="1:6" s="29" customFormat="1" ht="15.6" customHeight="1">
      <c r="A17" s="36">
        <v>3</v>
      </c>
      <c r="B17" s="41" t="s">
        <v>36</v>
      </c>
      <c r="C17" s="38">
        <v>1</v>
      </c>
      <c r="D17" s="39">
        <v>960</v>
      </c>
      <c r="E17" s="68">
        <f t="shared" si="0"/>
        <v>960</v>
      </c>
      <c r="F17" s="68"/>
    </row>
    <row r="18" spans="1:6" s="29" customFormat="1" ht="15.6" customHeight="1">
      <c r="A18" s="40">
        <v>4</v>
      </c>
      <c r="B18" s="41" t="s">
        <v>38</v>
      </c>
      <c r="C18" s="38">
        <v>1</v>
      </c>
      <c r="D18" s="39">
        <v>960</v>
      </c>
      <c r="E18" s="68">
        <f t="shared" si="0"/>
        <v>960</v>
      </c>
      <c r="F18" s="68"/>
    </row>
    <row r="19" spans="1:6" s="29" customFormat="1" ht="15.6" customHeight="1">
      <c r="A19" s="36">
        <v>5</v>
      </c>
      <c r="B19" s="41" t="s">
        <v>42</v>
      </c>
      <c r="C19" s="38">
        <v>1</v>
      </c>
      <c r="D19" s="39">
        <v>720</v>
      </c>
      <c r="E19" s="68">
        <f t="shared" si="0"/>
        <v>720</v>
      </c>
      <c r="F19" s="68"/>
    </row>
    <row r="20" spans="1:6" s="29" customFormat="1" ht="15.6" customHeight="1">
      <c r="A20" s="40">
        <v>6</v>
      </c>
      <c r="B20" s="41" t="s">
        <v>45</v>
      </c>
      <c r="C20" s="38">
        <v>1</v>
      </c>
      <c r="D20" s="39">
        <v>720</v>
      </c>
      <c r="E20" s="68">
        <f t="shared" si="0"/>
        <v>720</v>
      </c>
      <c r="F20" s="68"/>
    </row>
    <row r="21" spans="1:6" s="29" customFormat="1" ht="15.6" customHeight="1">
      <c r="A21" s="36">
        <v>7</v>
      </c>
      <c r="B21" s="41" t="s">
        <v>168</v>
      </c>
      <c r="C21" s="38">
        <v>1</v>
      </c>
      <c r="D21" s="39">
        <v>1650.03</v>
      </c>
      <c r="E21" s="68">
        <f t="shared" si="0"/>
        <v>1650.03</v>
      </c>
      <c r="F21" s="68"/>
    </row>
    <row r="22" spans="1:6" s="29" customFormat="1" ht="15.6" customHeight="1">
      <c r="A22" s="40">
        <v>8</v>
      </c>
      <c r="B22" s="33" t="s">
        <v>169</v>
      </c>
      <c r="C22" s="38">
        <v>1</v>
      </c>
      <c r="D22" s="39">
        <v>1650.03</v>
      </c>
      <c r="E22" s="68">
        <f t="shared" si="0"/>
        <v>1650.03</v>
      </c>
      <c r="F22" s="68"/>
    </row>
    <row r="23" spans="1:6" s="29" customFormat="1" ht="15.6" customHeight="1">
      <c r="A23" s="36">
        <v>9</v>
      </c>
      <c r="B23" s="33" t="s">
        <v>170</v>
      </c>
      <c r="C23" s="38">
        <v>1</v>
      </c>
      <c r="D23" s="39">
        <v>1914</v>
      </c>
      <c r="E23" s="68">
        <f t="shared" si="0"/>
        <v>1914</v>
      </c>
      <c r="F23" s="68"/>
    </row>
    <row r="24" spans="1:6" s="29" customFormat="1" ht="15.6" customHeight="1">
      <c r="A24" s="40">
        <v>10</v>
      </c>
      <c r="B24" s="41" t="s">
        <v>183</v>
      </c>
      <c r="C24" s="38">
        <v>1</v>
      </c>
      <c r="D24" s="39">
        <v>1600</v>
      </c>
      <c r="E24" s="68">
        <f t="shared" si="0"/>
        <v>1600</v>
      </c>
      <c r="F24" s="68"/>
    </row>
    <row r="25" spans="1:6" s="29" customFormat="1" ht="15.6" customHeight="1">
      <c r="A25" s="36">
        <v>11</v>
      </c>
      <c r="B25" s="41" t="s">
        <v>64</v>
      </c>
      <c r="C25" s="38">
        <v>1</v>
      </c>
      <c r="D25" s="39">
        <v>1584</v>
      </c>
      <c r="E25" s="68">
        <f t="shared" si="0"/>
        <v>1584</v>
      </c>
      <c r="F25" s="68"/>
    </row>
    <row r="26" spans="1:6" s="29" customFormat="1" ht="15.6" customHeight="1">
      <c r="A26" s="40">
        <v>12</v>
      </c>
      <c r="B26" s="41" t="s">
        <v>65</v>
      </c>
      <c r="C26" s="38">
        <v>1</v>
      </c>
      <c r="D26" s="39">
        <v>1584</v>
      </c>
      <c r="E26" s="68">
        <f t="shared" si="0"/>
        <v>1584</v>
      </c>
      <c r="F26" s="68"/>
    </row>
    <row r="27" spans="1:6" s="29" customFormat="1" ht="15.6" customHeight="1">
      <c r="A27" s="36">
        <v>13</v>
      </c>
      <c r="B27" s="41" t="s">
        <v>70</v>
      </c>
      <c r="C27" s="38">
        <v>1</v>
      </c>
      <c r="D27" s="39">
        <v>1584</v>
      </c>
      <c r="E27" s="68">
        <f t="shared" si="0"/>
        <v>1584</v>
      </c>
      <c r="F27" s="68"/>
    </row>
    <row r="28" spans="1:6" s="29" customFormat="1" ht="15.6" customHeight="1">
      <c r="A28" s="40">
        <v>14</v>
      </c>
      <c r="B28" s="41" t="s">
        <v>126</v>
      </c>
      <c r="C28" s="38">
        <v>1</v>
      </c>
      <c r="D28" s="39">
        <v>792</v>
      </c>
      <c r="E28" s="68">
        <f t="shared" si="0"/>
        <v>792</v>
      </c>
      <c r="F28" s="68"/>
    </row>
    <row r="29" spans="1:6" s="29" customFormat="1" ht="15.6" customHeight="1">
      <c r="A29" s="36">
        <v>15</v>
      </c>
      <c r="B29" s="41" t="s">
        <v>127</v>
      </c>
      <c r="C29" s="38">
        <v>1</v>
      </c>
      <c r="D29" s="39">
        <v>792</v>
      </c>
      <c r="E29" s="68">
        <f t="shared" si="0"/>
        <v>792</v>
      </c>
      <c r="F29" s="68"/>
    </row>
    <row r="30" spans="1:6" s="29" customFormat="1" ht="15.6" customHeight="1">
      <c r="A30" s="40">
        <v>16</v>
      </c>
      <c r="B30" s="41" t="s">
        <v>92</v>
      </c>
      <c r="C30" s="38">
        <v>1</v>
      </c>
      <c r="D30" s="39">
        <v>1384.62</v>
      </c>
      <c r="E30" s="68">
        <f t="shared" si="0"/>
        <v>1384.62</v>
      </c>
      <c r="F30" s="68"/>
    </row>
    <row r="31" spans="1:6" s="29" customFormat="1" ht="15.6" customHeight="1">
      <c r="A31" s="36">
        <v>17</v>
      </c>
      <c r="B31" s="41" t="s">
        <v>94</v>
      </c>
      <c r="C31" s="38">
        <v>1</v>
      </c>
      <c r="D31" s="39">
        <v>1461.54</v>
      </c>
      <c r="E31" s="68">
        <f t="shared" si="0"/>
        <v>1461.54</v>
      </c>
      <c r="F31" s="68"/>
    </row>
    <row r="32" spans="1:6" s="29" customFormat="1" ht="15.6" customHeight="1">
      <c r="A32" s="40">
        <v>18</v>
      </c>
      <c r="B32" s="41" t="s">
        <v>96</v>
      </c>
      <c r="C32" s="38">
        <v>1</v>
      </c>
      <c r="D32" s="39">
        <v>1384.62</v>
      </c>
      <c r="E32" s="68">
        <f t="shared" si="0"/>
        <v>1384.62</v>
      </c>
      <c r="F32" s="68"/>
    </row>
    <row r="33" spans="1:6" s="29" customFormat="1" ht="15.6" customHeight="1">
      <c r="A33" s="36">
        <v>19</v>
      </c>
      <c r="B33" s="41" t="s">
        <v>97</v>
      </c>
      <c r="C33" s="38">
        <v>1</v>
      </c>
      <c r="D33" s="39">
        <v>1384.62</v>
      </c>
      <c r="E33" s="68">
        <f t="shared" si="0"/>
        <v>1384.62</v>
      </c>
      <c r="F33" s="68"/>
    </row>
    <row r="34" spans="1:6" s="29" customFormat="1" ht="15.6" customHeight="1">
      <c r="A34" s="40">
        <v>20</v>
      </c>
      <c r="B34" s="41" t="s">
        <v>105</v>
      </c>
      <c r="C34" s="38">
        <v>2</v>
      </c>
      <c r="D34" s="39">
        <v>1892.31</v>
      </c>
      <c r="E34" s="68">
        <f t="shared" si="0"/>
        <v>3784.62</v>
      </c>
      <c r="F34" s="68"/>
    </row>
    <row r="35" spans="1:6" s="30" customFormat="1" ht="15.6" customHeight="1">
      <c r="A35" s="34"/>
      <c r="B35" s="42" t="s">
        <v>205</v>
      </c>
      <c r="C35" s="35">
        <f>SUM(C15:C34)</f>
        <v>21</v>
      </c>
      <c r="D35" s="32"/>
      <c r="E35" s="71">
        <f>SUM(E15:F34)</f>
        <v>27206.079999999994</v>
      </c>
      <c r="F35" s="72"/>
    </row>
    <row r="36" spans="1:6" s="30" customFormat="1" ht="15.6" customHeight="1">
      <c r="A36" s="34"/>
      <c r="B36" s="42"/>
      <c r="C36" s="35"/>
      <c r="D36" s="32"/>
      <c r="E36" s="43"/>
      <c r="F36" s="44"/>
    </row>
    <row r="37" spans="1:6" ht="19.2" customHeight="1">
      <c r="A37" s="70" t="s">
        <v>197</v>
      </c>
      <c r="B37" s="70"/>
      <c r="C37" s="70"/>
      <c r="D37" s="70"/>
      <c r="E37" s="53"/>
      <c r="F37" s="54"/>
    </row>
    <row r="38" spans="1:6" ht="15.6" customHeight="1">
      <c r="A38" s="70" t="s">
        <v>198</v>
      </c>
      <c r="B38" s="70"/>
      <c r="C38" s="70"/>
      <c r="D38" s="70"/>
      <c r="E38" s="55"/>
      <c r="F38" s="56"/>
    </row>
    <row r="39" spans="1:6" ht="18.600000000000001" customHeight="1">
      <c r="A39" s="70" t="s">
        <v>199</v>
      </c>
      <c r="B39" s="70"/>
      <c r="C39" s="70"/>
      <c r="D39" s="70"/>
      <c r="E39" s="55"/>
      <c r="F39" s="56"/>
    </row>
    <row r="40" spans="1:6" ht="21.6" customHeight="1">
      <c r="A40" s="70" t="s">
        <v>200</v>
      </c>
      <c r="B40" s="70"/>
      <c r="C40" s="70"/>
      <c r="D40" s="70"/>
      <c r="E40" s="57"/>
      <c r="F40" s="58"/>
    </row>
  </sheetData>
  <mergeCells count="43">
    <mergeCell ref="A40:D40"/>
    <mergeCell ref="E40:F40"/>
    <mergeCell ref="E32:F32"/>
    <mergeCell ref="E33:F33"/>
    <mergeCell ref="E34:F34"/>
    <mergeCell ref="E35:F35"/>
    <mergeCell ref="A37:D37"/>
    <mergeCell ref="E37:F37"/>
    <mergeCell ref="A38:D38"/>
    <mergeCell ref="E38:F39"/>
    <mergeCell ref="A39:D39"/>
    <mergeCell ref="E29:F29"/>
    <mergeCell ref="E30:F30"/>
    <mergeCell ref="E31:F31"/>
    <mergeCell ref="E26:F26"/>
    <mergeCell ref="E27:F27"/>
    <mergeCell ref="E28:F28"/>
    <mergeCell ref="E23:F23"/>
    <mergeCell ref="E24:F24"/>
    <mergeCell ref="E25:F25"/>
    <mergeCell ref="E20:F20"/>
    <mergeCell ref="E21:F21"/>
    <mergeCell ref="E22:F22"/>
    <mergeCell ref="E17:F17"/>
    <mergeCell ref="E18:F18"/>
    <mergeCell ref="E19:F19"/>
    <mergeCell ref="E14:F14"/>
    <mergeCell ref="E15:F15"/>
    <mergeCell ref="E16:F16"/>
    <mergeCell ref="A13:F13"/>
    <mergeCell ref="A1:F1"/>
    <mergeCell ref="A2:D2"/>
    <mergeCell ref="E2:F7"/>
    <mergeCell ref="A3:D3"/>
    <mergeCell ref="A4:D4"/>
    <mergeCell ref="A5:D5"/>
    <mergeCell ref="A6:D6"/>
    <mergeCell ref="A7:D7"/>
    <mergeCell ref="A8:F8"/>
    <mergeCell ref="A9:F9"/>
    <mergeCell ref="A10:F10"/>
    <mergeCell ref="A11:F11"/>
    <mergeCell ref="A12:F1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Sheet2 (2)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Laser Art</cp:lastModifiedBy>
  <cp:lastPrinted>2026-04-15T07:20:16Z</cp:lastPrinted>
  <dcterms:created xsi:type="dcterms:W3CDTF">2026-04-13T12:46:06Z</dcterms:created>
  <dcterms:modified xsi:type="dcterms:W3CDTF">2026-07-20T13:56:48Z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LastSaved">
    <vt:filetime>2026-04-13T00:00:00Z</vt:filetime>
  </property>
  <property fmtid="{D5CDD505-2E9C-101B-9397-08002B2CF9AE}" pid="4" name="Producer">
    <vt:lpwstr>iLovePDF</vt:lpwstr>
  </property>
</Properties>
</file>