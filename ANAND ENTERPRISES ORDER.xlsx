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0" yWindow="0" windowWidth="20730" windowHeight="8940"/>
  </bookViews>
  <sheets>
    <sheet name="Table 1 (2)" sheetId="1" r:id="rId1"/>
  </sheets>
  <definedNames>
    <definedName name="_xlnm._FilterDatabase" localSheetId="0" hidden="1">'Table 1 (2)'!$A$8:$V$20</definedName>
  </definedNames>
  <calcPr calcId="124519"/>
</workbook>
</file>

<file path=xl/calcChain.xml><?xml version="1.0" encoding="utf-8"?>
<calcChain xmlns="http://schemas.openxmlformats.org/spreadsheetml/2006/main">
  <c r="L63" i="1"/>
  <c r="L62"/>
  <c r="L61"/>
  <c r="M61" s="1"/>
  <c r="L60"/>
  <c r="M60" s="1"/>
  <c r="L59"/>
  <c r="L58"/>
  <c r="M58" s="1"/>
  <c r="L57"/>
  <c r="M57" s="1"/>
  <c r="L56"/>
  <c r="M56" s="1"/>
  <c r="L55"/>
  <c r="L54"/>
  <c r="L53"/>
  <c r="M53" s="1"/>
  <c r="L52"/>
  <c r="M52" s="1"/>
  <c r="L51"/>
  <c r="M51" s="1"/>
  <c r="L50"/>
  <c r="M50" s="1"/>
  <c r="L49"/>
  <c r="M49" s="1"/>
  <c r="L48"/>
  <c r="M48" s="1"/>
  <c r="L47"/>
  <c r="L46"/>
  <c r="L45"/>
  <c r="L44"/>
  <c r="M63"/>
  <c r="M62"/>
  <c r="M59"/>
  <c r="M55"/>
  <c r="M54"/>
  <c r="M47"/>
  <c r="D37" l="1"/>
  <c r="G31"/>
  <c r="F31"/>
  <c r="E31"/>
  <c r="D31"/>
  <c r="G21"/>
  <c r="F21"/>
  <c r="E21"/>
  <c r="D21"/>
  <c r="M46"/>
  <c r="M45"/>
  <c r="M44"/>
  <c r="L43"/>
  <c r="L37"/>
  <c r="M37" s="1"/>
  <c r="L36"/>
  <c r="M36" s="1"/>
  <c r="L35"/>
  <c r="M35" s="1"/>
  <c r="L34"/>
  <c r="M34" s="1"/>
  <c r="L33"/>
  <c r="M33" s="1"/>
  <c r="L32"/>
  <c r="M32" s="1"/>
  <c r="L31"/>
  <c r="M31" s="1"/>
  <c r="L30"/>
  <c r="M30" s="1"/>
  <c r="L29"/>
  <c r="M29" s="1"/>
  <c r="L28"/>
  <c r="M28" s="1"/>
  <c r="L27"/>
  <c r="M27" s="1"/>
  <c r="L26"/>
  <c r="M26" s="1"/>
  <c r="L25"/>
  <c r="M25" s="1"/>
  <c r="L24"/>
  <c r="M24" s="1"/>
  <c r="L23"/>
  <c r="M23" s="1"/>
  <c r="L39"/>
  <c r="M39" s="1"/>
  <c r="M17"/>
  <c r="L17"/>
  <c r="M16"/>
  <c r="L16"/>
  <c r="M15"/>
  <c r="L15"/>
  <c r="M14"/>
  <c r="L14"/>
  <c r="M13"/>
  <c r="L13"/>
  <c r="M12"/>
  <c r="L12"/>
  <c r="I83"/>
  <c r="D75"/>
  <c r="C75"/>
  <c r="I74"/>
  <c r="H74"/>
  <c r="I73"/>
  <c r="H73"/>
  <c r="I72"/>
  <c r="H72"/>
  <c r="I71"/>
  <c r="H71"/>
  <c r="I70"/>
  <c r="H70"/>
  <c r="I69"/>
  <c r="H69"/>
  <c r="G67"/>
  <c r="F67"/>
  <c r="E67"/>
  <c r="D67"/>
  <c r="C67"/>
  <c r="I66"/>
  <c r="H66"/>
  <c r="I65"/>
  <c r="H65"/>
  <c r="I64"/>
  <c r="H64"/>
  <c r="I63"/>
  <c r="H63"/>
  <c r="I62"/>
  <c r="H62"/>
  <c r="I61"/>
  <c r="H61"/>
  <c r="I60"/>
  <c r="H60"/>
  <c r="I59"/>
  <c r="H59"/>
  <c r="I58"/>
  <c r="H58"/>
  <c r="I57"/>
  <c r="H57"/>
  <c r="I56"/>
  <c r="H56"/>
  <c r="I55"/>
  <c r="H55"/>
  <c r="I54"/>
  <c r="H54"/>
  <c r="I53"/>
  <c r="H53"/>
  <c r="I52"/>
  <c r="H52"/>
  <c r="I51"/>
  <c r="H51"/>
  <c r="I50"/>
  <c r="H50"/>
  <c r="I49"/>
  <c r="H49"/>
  <c r="I48"/>
  <c r="H48"/>
  <c r="I47"/>
  <c r="H47"/>
  <c r="I46"/>
  <c r="H46"/>
  <c r="I45"/>
  <c r="H45"/>
  <c r="I44"/>
  <c r="H44"/>
  <c r="I43"/>
  <c r="H43"/>
  <c r="I42"/>
  <c r="H42"/>
  <c r="M41"/>
  <c r="L41"/>
  <c r="I41"/>
  <c r="H41"/>
  <c r="M40"/>
  <c r="L40"/>
  <c r="I40"/>
  <c r="H40"/>
  <c r="I39"/>
  <c r="H39"/>
  <c r="I38"/>
  <c r="H38"/>
  <c r="C37"/>
  <c r="I36"/>
  <c r="H36"/>
  <c r="I35"/>
  <c r="H35"/>
  <c r="C34"/>
  <c r="I33"/>
  <c r="H33"/>
  <c r="I32"/>
  <c r="I34" s="1"/>
  <c r="H32"/>
  <c r="H34" s="1"/>
  <c r="C31"/>
  <c r="I30"/>
  <c r="H30"/>
  <c r="I29"/>
  <c r="H29"/>
  <c r="I28"/>
  <c r="H28"/>
  <c r="I27"/>
  <c r="H27"/>
  <c r="I26"/>
  <c r="H26"/>
  <c r="I25"/>
  <c r="H25"/>
  <c r="I24"/>
  <c r="H24"/>
  <c r="I23"/>
  <c r="H23"/>
  <c r="C21"/>
  <c r="I20"/>
  <c r="H20"/>
  <c r="I19"/>
  <c r="H19"/>
  <c r="I18"/>
  <c r="H18"/>
  <c r="I17"/>
  <c r="H17"/>
  <c r="I16"/>
  <c r="H16"/>
  <c r="I15"/>
  <c r="H15"/>
  <c r="Z14"/>
  <c r="I14"/>
  <c r="H14"/>
  <c r="Z13"/>
  <c r="I13"/>
  <c r="H13"/>
  <c r="Z12"/>
  <c r="I12"/>
  <c r="H12"/>
  <c r="Z11"/>
  <c r="M11"/>
  <c r="L11"/>
  <c r="I11"/>
  <c r="H11"/>
  <c r="M10"/>
  <c r="L10"/>
  <c r="I10"/>
  <c r="H10"/>
  <c r="M9"/>
  <c r="L9"/>
  <c r="I9"/>
  <c r="H9"/>
  <c r="J83" l="1"/>
  <c r="I37"/>
  <c r="H37"/>
  <c r="K66" s="1"/>
  <c r="H75"/>
  <c r="I82" s="1"/>
  <c r="I75"/>
  <c r="J82" s="1"/>
  <c r="I67"/>
  <c r="J79" s="1"/>
  <c r="H67"/>
  <c r="I79" s="1"/>
  <c r="H31"/>
  <c r="H21"/>
  <c r="I80" s="1"/>
  <c r="I21"/>
  <c r="J80" s="1"/>
  <c r="I31"/>
  <c r="M43"/>
  <c r="J81" l="1"/>
  <c r="J84" s="1"/>
  <c r="L66"/>
  <c r="I81"/>
  <c r="I84" s="1"/>
</calcChain>
</file>

<file path=xl/sharedStrings.xml><?xml version="1.0" encoding="utf-8"?>
<sst xmlns="http://schemas.openxmlformats.org/spreadsheetml/2006/main" count="154" uniqueCount="138">
  <si>
    <t>ITEM NAME</t>
  </si>
  <si>
    <t>CHINESE PASTA</t>
  </si>
  <si>
    <t>CHATPATI KATORI</t>
  </si>
  <si>
    <t>TOMCHI ABCD</t>
  </si>
  <si>
    <t>SALTED REFILL</t>
  </si>
  <si>
    <t>KHATTI MITHI RING</t>
  </si>
  <si>
    <t>CHAUMIN NOODLES</t>
  </si>
  <si>
    <t>TOMATO KATORI</t>
  </si>
  <si>
    <t>MASALA WHEELS</t>
  </si>
  <si>
    <t>CHATPATA TRIANGLE</t>
  </si>
  <si>
    <t>MASALA PANIPURI</t>
  </si>
  <si>
    <t>PUDINA RING</t>
  </si>
  <si>
    <t>JEERA PAPAD</t>
  </si>
  <si>
    <t>SIMPLY SALTED CHIPS</t>
  </si>
  <si>
    <t>MAGICAL MASALA CHIPS</t>
  </si>
  <si>
    <t>TWISTED TOMATO CHIPS</t>
  </si>
  <si>
    <t>CREAMY ONION CHIPS</t>
  </si>
  <si>
    <t>CHATAKA DHAMAKA  TOMATO</t>
  </si>
  <si>
    <t>CHATAKA DHAMAKA MASALA</t>
  </si>
  <si>
    <t>RATLAMI SEV</t>
  </si>
  <si>
    <t>FARALI CHIWDA MITHA</t>
  </si>
  <si>
    <t>FARALI CHIWDA TIKHA</t>
  </si>
  <si>
    <t>SING BHUJIYA</t>
  </si>
  <si>
    <t>MOONGDAL</t>
  </si>
  <si>
    <t>ALOO SEV</t>
  </si>
  <si>
    <t>BIKANERI SEV</t>
  </si>
  <si>
    <t>TIKHA MITHA MIX</t>
  </si>
  <si>
    <t>KHATTA MITHA MIX</t>
  </si>
  <si>
    <t>TIKHI SEV</t>
  </si>
  <si>
    <t>PAPDI</t>
  </si>
  <si>
    <t>VANELA GANTHIYA</t>
  </si>
  <si>
    <t>BHAVNAGRI GANTHIYA</t>
  </si>
  <si>
    <t>NYLON GANTHIYA</t>
  </si>
  <si>
    <t>MORI SEV</t>
  </si>
  <si>
    <t>BHAKHARWADI</t>
  </si>
  <si>
    <t>SAKKARPARA</t>
  </si>
  <si>
    <t>CHANADAL</t>
  </si>
  <si>
    <t>DAL MUTH</t>
  </si>
  <si>
    <t>SEV MAMRA</t>
  </si>
  <si>
    <t>MASALA SEV MAMRA</t>
  </si>
  <si>
    <t>SOYA CHIPS</t>
  </si>
  <si>
    <t xml:space="preserve"> PEANUT CHIKKI</t>
  </si>
  <si>
    <t xml:space="preserve"> CRUSHED PEANUT CHIKKI</t>
  </si>
  <si>
    <t xml:space="preserve"> SESAME CHIKKI</t>
  </si>
  <si>
    <t xml:space="preserve"> SWEETROLL VANILA</t>
  </si>
  <si>
    <t xml:space="preserve"> SWEETROLL CHOCOLATE</t>
  </si>
  <si>
    <t xml:space="preserve"> CHOCO BITES</t>
  </si>
  <si>
    <t>RS.10</t>
  </si>
  <si>
    <t>FULWADI</t>
  </si>
  <si>
    <t>RS. 5</t>
  </si>
  <si>
    <t>SALTED POP CORN</t>
  </si>
  <si>
    <t>CHEESE MASALA POP CORN</t>
  </si>
  <si>
    <t>MURUKKU</t>
  </si>
  <si>
    <t>BOX</t>
  </si>
  <si>
    <t>5 RS</t>
  </si>
  <si>
    <t>500 GM</t>
  </si>
  <si>
    <t>CHILLI TADKA CHIPS</t>
  </si>
  <si>
    <t>ROCK SALTED CHIPS</t>
  </si>
  <si>
    <t>BANANA CHIPS</t>
  </si>
  <si>
    <t>GUJRATI MIX( 1 KG)</t>
  </si>
  <si>
    <t>KACHORI( 400 GM)</t>
  </si>
  <si>
    <t>JEERA COOKIES</t>
  </si>
  <si>
    <t>CHILLI HARISSHA CHIPS</t>
  </si>
  <si>
    <t>TOTAL</t>
  </si>
  <si>
    <t>CHAKLI 200 GM</t>
  </si>
  <si>
    <t>MURUKKU 200 GM</t>
  </si>
  <si>
    <t>MINI SAMOSA 200 GM</t>
  </si>
  <si>
    <t>METHI MATTHI 200 GM</t>
  </si>
  <si>
    <t>CHOCOLATE</t>
  </si>
  <si>
    <t>STRAWBERRY</t>
  </si>
  <si>
    <t>ORANGE</t>
  </si>
  <si>
    <t>135 G</t>
  </si>
  <si>
    <t>MASALA PAPDI</t>
  </si>
  <si>
    <t>RS 5 WAFERS BISCUITS</t>
  </si>
  <si>
    <t>VALUE</t>
  </si>
  <si>
    <t>NOTE</t>
  </si>
  <si>
    <t>GRAND TOTAL</t>
  </si>
  <si>
    <t>COOKIES(200 GM)</t>
  </si>
  <si>
    <t xml:space="preserve">          PURCHASE ORDER SUPER STOCKIST</t>
  </si>
  <si>
    <t>NO.</t>
  </si>
  <si>
    <t xml:space="preserve">200GM (PILLOW)     </t>
  </si>
  <si>
    <t xml:space="preserve">  400GM (STANDY)</t>
  </si>
  <si>
    <t>200GM STANDY</t>
  </si>
  <si>
    <t>PANCHRATNA COOKIES</t>
  </si>
  <si>
    <t>COCONUTS COOKIES</t>
  </si>
  <si>
    <t>SOYA STICK</t>
  </si>
  <si>
    <t>Namkeen</t>
  </si>
  <si>
    <t>Chips</t>
  </si>
  <si>
    <t>Fryms</t>
  </si>
  <si>
    <t>Roll</t>
  </si>
  <si>
    <t>Waffers</t>
  </si>
  <si>
    <t>Sample Kit</t>
  </si>
  <si>
    <t xml:space="preserve">UDAD MARI PAPAD </t>
  </si>
  <si>
    <t xml:space="preserve">GARLIC GREEN CHILLI PAPAD </t>
  </si>
  <si>
    <t>SOAN PAPDI - 200g BOX</t>
  </si>
  <si>
    <t>SOAN PAPDI - 400g BOX</t>
  </si>
  <si>
    <t>SOAN PAPDI - 200g POLYBAG</t>
  </si>
  <si>
    <t>SOAN PAPDI - 400g POLYBAG</t>
  </si>
  <si>
    <t>RASGULLA  - 1KG</t>
  </si>
  <si>
    <t>GULAB JAMUN - 1KG</t>
  </si>
  <si>
    <t>RASGULLA - 500g</t>
  </si>
  <si>
    <t>GULAB JAMUN - 500g</t>
  </si>
  <si>
    <t>FLAVOURFUL MOMENTS</t>
  </si>
  <si>
    <t>UPHAR</t>
  </si>
  <si>
    <t>RISHTEY</t>
  </si>
  <si>
    <t>khushiyan</t>
  </si>
  <si>
    <t>sweet celebration</t>
  </si>
  <si>
    <t>Punjabi Tadka</t>
  </si>
  <si>
    <t>Kaju Biscuit</t>
  </si>
  <si>
    <t>Salted Peanut</t>
  </si>
  <si>
    <t>Masala Peanut</t>
  </si>
  <si>
    <t>Rs 20</t>
  </si>
  <si>
    <t>CLASSIC FARALI CHIWDA TIKHA</t>
  </si>
  <si>
    <t>CLASSIC PACK SING BHUJIYA</t>
  </si>
  <si>
    <t>CLASSIC PACK MOONGDAL</t>
  </si>
  <si>
    <t>CLASSIC PACK ALOO SEV</t>
  </si>
  <si>
    <t>CLASSIC PACK TIKHA MITHA MIX</t>
  </si>
  <si>
    <t>CLASSIC PACK KHATTA MITHA MIX</t>
  </si>
  <si>
    <t>CLASSIC PACK PLAIN PAPDI</t>
  </si>
  <si>
    <t>CLASSIC PACK BIKANERI SEV</t>
  </si>
  <si>
    <t>CLASSIC PACK SEV MAMRA</t>
  </si>
  <si>
    <t>CLASSIC PACK MASALA SEV MAMRA</t>
  </si>
  <si>
    <t>CLASSIC PACK SALTED CHIPS</t>
  </si>
  <si>
    <t>CLASSIC PACK MASALA CHIPS</t>
  </si>
  <si>
    <t>CLASSIC PACK TOMATO CHIPS</t>
  </si>
  <si>
    <t>CLASSIC PACK CREAM &amp; ONION CHIPS</t>
  </si>
  <si>
    <t>CLASSIC PACK ROCK SALTED CHIPS</t>
  </si>
  <si>
    <t>CLASSIC PACK CHILLI TADKA CHIPS</t>
  </si>
  <si>
    <t>CLASSIC PACK CHILLI HARISSA CHIPS</t>
  </si>
  <si>
    <t xml:space="preserve">BILLING  PARTY DETAILS: ANAND ENTERPRISES                                                                                                 SHIPPING PARTY DETAILS:           </t>
  </si>
  <si>
    <t xml:space="preserve">ADDRESS: 26/B,SARAF KASKAR IND.ESTATE,S.V.ROAD OSHIWARA ABOVE A-1 DARBAR HOTEL,JOGESHWARI WEST MUMBAI-400102                                                                                                                                         ADDRESS: 26/B,SARAF KASKAR IND.ESTATE,S.V.ROAD OSHIWARA ABOVE A-1 DARBAR HOTEL,JOGESHWARI WEST MUMBAI-400102                                                                                                                            </t>
  </si>
  <si>
    <t xml:space="preserve">GST NO: 27AHFPD7794J1ZV                                                                                                                                GST NO :                                                                                                                                             </t>
  </si>
  <si>
    <t xml:space="preserve">PARTY NAME:  ANAND ENTERPRISES                                                                                                                                         ASM/SO NAME: MMTAZ                                                                                                    </t>
  </si>
  <si>
    <t>CONTACT NO: 9892660176                                                                                                                   CONTACT NO: 9768885353</t>
  </si>
  <si>
    <t>HING CHANA</t>
  </si>
  <si>
    <t>CHANA JOR GARAM</t>
  </si>
  <si>
    <t xml:space="preserve">DATE: 21.07.2026                                                                                                                                                                                             </t>
  </si>
  <si>
    <t>COCKTAIL MIX</t>
  </si>
</sst>
</file>

<file path=xl/styles.xml><?xml version="1.0" encoding="utf-8"?>
<styleSheet xmlns="http://schemas.openxmlformats.org/spreadsheetml/2006/main">
  <fonts count="35">
    <font>
      <sz val="10"/>
      <name val="Times New Roman"/>
    </font>
    <font>
      <b/>
      <sz val="16"/>
      <color rgb="FFFF0000"/>
      <name val="Tahoma"/>
    </font>
    <font>
      <b/>
      <sz val="14"/>
      <color rgb="FFFF0000"/>
      <name val="Tahoma"/>
    </font>
    <font>
      <b/>
      <sz val="16"/>
      <color rgb="FF000000"/>
      <name val="Calibri"/>
    </font>
    <font>
      <b/>
      <sz val="16"/>
      <color rgb="FF000000"/>
      <name val="Bahnschrift"/>
    </font>
    <font>
      <b/>
      <sz val="16"/>
      <color rgb="FF0F253F"/>
      <name val="Bahnschrift"/>
    </font>
    <font>
      <b/>
      <sz val="16"/>
      <name val="Bahnschrift"/>
    </font>
    <font>
      <b/>
      <sz val="14"/>
      <color rgb="FF000000"/>
      <name val="Cambria"/>
    </font>
    <font>
      <b/>
      <sz val="12"/>
      <color rgb="FF231F20"/>
      <name val="Bahnschrift"/>
    </font>
    <font>
      <b/>
      <sz val="14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4"/>
      <name val="Calibri"/>
    </font>
    <font>
      <b/>
      <sz val="12"/>
      <color rgb="FF000000"/>
      <name val="Bahnschrift"/>
    </font>
    <font>
      <b/>
      <sz val="12"/>
      <name val="Times New Roman"/>
    </font>
    <font>
      <b/>
      <sz val="12"/>
      <name val="Bahnschrift"/>
    </font>
    <font>
      <b/>
      <sz val="10"/>
      <name val="Times New Roman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1"/>
      <color rgb="FF231F20"/>
      <name val="Bahnschrift"/>
    </font>
    <font>
      <b/>
      <sz val="11"/>
      <name val="Bahnschrift"/>
    </font>
    <font>
      <b/>
      <sz val="14"/>
      <color rgb="FF000000"/>
      <name val="Cambria"/>
    </font>
    <font>
      <b/>
      <sz val="14"/>
      <color rgb="FF000000"/>
      <name val="Cambria"/>
    </font>
    <font>
      <b/>
      <sz val="14"/>
      <name val="Cambria"/>
    </font>
    <font>
      <sz val="10"/>
      <name val="Times New Roman"/>
    </font>
    <font>
      <b/>
      <sz val="14"/>
      <name val="Cambria"/>
    </font>
    <font>
      <b/>
      <sz val="12"/>
      <color rgb="FF000000"/>
      <name val="Cambria"/>
    </font>
    <font>
      <b/>
      <sz val="14"/>
      <name val="Calibri"/>
    </font>
    <font>
      <b/>
      <sz val="11"/>
      <color rgb="FF000000"/>
      <name val="Bahnschrift"/>
    </font>
    <font>
      <b/>
      <sz val="14"/>
      <color rgb="FF000000"/>
      <name val="Calibri"/>
    </font>
    <font>
      <sz val="10"/>
      <name val="Times New Roman"/>
    </font>
    <font>
      <sz val="10"/>
      <color rgb="FFFF0000"/>
      <name val="Times New Roman"/>
    </font>
    <font>
      <sz val="10"/>
      <name val="Cambria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4CDD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A5A5A5"/>
      </patternFill>
    </fill>
    <fill>
      <patternFill patternType="solid">
        <fgColor rgb="FFFFFFFF"/>
        <bgColor indexed="64"/>
      </patternFill>
    </fill>
    <fill>
      <patternFill patternType="solid">
        <fgColor rgb="FF4CACC6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0" fillId="4" borderId="17">
      <alignment vertical="top"/>
      <protection locked="0"/>
    </xf>
  </cellStyleXfs>
  <cellXfs count="178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left" wrapText="1"/>
    </xf>
    <xf numFmtId="0" fontId="5" fillId="3" borderId="5" xfId="0" applyFont="1" applyFill="1" applyBorder="1" applyAlignment="1">
      <alignment horizontal="left" wrapText="1"/>
    </xf>
    <xf numFmtId="0" fontId="6" fillId="3" borderId="0" xfId="0" applyFont="1" applyFill="1" applyAlignment="1">
      <alignment horizontal="left" wrapText="1"/>
    </xf>
    <xf numFmtId="0" fontId="6" fillId="3" borderId="5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vertical="top" wrapText="1"/>
    </xf>
    <xf numFmtId="0" fontId="7" fillId="2" borderId="7" xfId="0" applyFont="1" applyFill="1" applyBorder="1" applyAlignment="1">
      <alignment vertical="top" wrapText="1"/>
    </xf>
    <xf numFmtId="0" fontId="7" fillId="2" borderId="6" xfId="0" applyFont="1" applyFill="1" applyBorder="1" applyAlignment="1">
      <alignment vertical="top" wrapText="1"/>
    </xf>
    <xf numFmtId="0" fontId="7" fillId="2" borderId="8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1" fontId="8" fillId="0" borderId="9" xfId="0" applyNumberFormat="1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left" vertical="center" wrapText="1" indent="1"/>
    </xf>
    <xf numFmtId="0" fontId="9" fillId="0" borderId="10" xfId="0" applyFont="1" applyBorder="1" applyAlignment="1">
      <alignment horizontal="center" wrapText="1"/>
    </xf>
    <xf numFmtId="0" fontId="10" fillId="4" borderId="11" xfId="1" applyBorder="1" applyAlignment="1" applyProtection="1">
      <alignment horizontal="center" wrapText="1"/>
    </xf>
    <xf numFmtId="0" fontId="11" fillId="4" borderId="12" xfId="1" applyFont="1" applyBorder="1" applyAlignment="1" applyProtection="1">
      <alignment wrapText="1"/>
    </xf>
    <xf numFmtId="0" fontId="12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" fontId="8" fillId="0" borderId="15" xfId="0" applyNumberFormat="1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left" vertical="center" wrapText="1" indent="1"/>
    </xf>
    <xf numFmtId="0" fontId="9" fillId="0" borderId="16" xfId="0" applyFont="1" applyBorder="1" applyAlignment="1">
      <alignment horizontal="center" wrapText="1"/>
    </xf>
    <xf numFmtId="0" fontId="10" fillId="4" borderId="17" xfId="1" applyAlignment="1" applyProtection="1">
      <alignment horizontal="center" wrapText="1"/>
    </xf>
    <xf numFmtId="0" fontId="11" fillId="4" borderId="17" xfId="1" applyFont="1" applyAlignment="1" applyProtection="1">
      <alignment wrapText="1"/>
    </xf>
    <xf numFmtId="0" fontId="12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wrapText="1"/>
    </xf>
    <xf numFmtId="0" fontId="9" fillId="0" borderId="19" xfId="0" applyFont="1" applyBorder="1" applyAlignment="1">
      <alignment horizontal="center" wrapText="1"/>
    </xf>
    <xf numFmtId="0" fontId="14" fillId="0" borderId="0" xfId="0" applyFont="1">
      <alignment vertical="center"/>
    </xf>
    <xf numFmtId="0" fontId="16" fillId="0" borderId="0" xfId="0" applyFont="1" applyAlignment="1">
      <alignment horizontal="center" vertical="top"/>
    </xf>
    <xf numFmtId="0" fontId="11" fillId="4" borderId="20" xfId="1" applyFont="1" applyBorder="1" applyAlignment="1" applyProtection="1">
      <alignment wrapText="1"/>
    </xf>
    <xf numFmtId="0" fontId="13" fillId="0" borderId="16" xfId="0" applyFont="1" applyBorder="1" applyAlignment="1">
      <alignment vertical="center" wrapText="1"/>
    </xf>
    <xf numFmtId="0" fontId="18" fillId="0" borderId="16" xfId="0" applyFont="1" applyBorder="1" applyAlignment="1">
      <alignment horizontal="center" wrapText="1"/>
    </xf>
    <xf numFmtId="1" fontId="8" fillId="0" borderId="21" xfId="0" applyNumberFormat="1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left" vertical="center" wrapText="1" indent="1"/>
    </xf>
    <xf numFmtId="0" fontId="9" fillId="0" borderId="22" xfId="0" applyFont="1" applyBorder="1" applyAlignment="1">
      <alignment horizontal="center" wrapText="1"/>
    </xf>
    <xf numFmtId="0" fontId="10" fillId="4" borderId="23" xfId="1" applyBorder="1" applyAlignment="1" applyProtection="1">
      <alignment horizontal="center" wrapText="1"/>
    </xf>
    <xf numFmtId="0" fontId="11" fillId="4" borderId="24" xfId="1" applyFont="1" applyBorder="1" applyAlignment="1" applyProtection="1">
      <alignment wrapText="1"/>
    </xf>
    <xf numFmtId="0" fontId="12" fillId="0" borderId="25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wrapText="1"/>
    </xf>
    <xf numFmtId="0" fontId="9" fillId="0" borderId="26" xfId="0" applyFont="1" applyBorder="1" applyAlignment="1">
      <alignment horizontal="center" wrapText="1"/>
    </xf>
    <xf numFmtId="0" fontId="9" fillId="0" borderId="27" xfId="0" applyFont="1" applyBorder="1" applyAlignment="1">
      <alignment horizontal="center" wrapText="1"/>
    </xf>
    <xf numFmtId="1" fontId="8" fillId="2" borderId="28" xfId="0" applyNumberFormat="1" applyFont="1" applyFill="1" applyBorder="1" applyAlignment="1">
      <alignment horizontal="center" vertical="center" shrinkToFit="1"/>
    </xf>
    <xf numFmtId="0" fontId="19" fillId="2" borderId="29" xfId="0" applyFont="1" applyFill="1" applyBorder="1" applyAlignment="1">
      <alignment horizontal="left" vertical="center" wrapText="1" indent="1"/>
    </xf>
    <xf numFmtId="0" fontId="9" fillId="2" borderId="29" xfId="0" applyFont="1" applyFill="1" applyBorder="1" applyAlignment="1">
      <alignment horizontal="center" wrapText="1"/>
    </xf>
    <xf numFmtId="0" fontId="12" fillId="2" borderId="29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1" fontId="8" fillId="2" borderId="32" xfId="0" applyNumberFormat="1" applyFont="1" applyFill="1" applyBorder="1" applyAlignment="1">
      <alignment horizontal="center" vertical="center" shrinkToFit="1"/>
    </xf>
    <xf numFmtId="0" fontId="20" fillId="2" borderId="33" xfId="0" applyFont="1" applyFill="1" applyBorder="1" applyAlignment="1">
      <alignment horizontal="left" vertical="center" wrapText="1" indent="1"/>
    </xf>
    <xf numFmtId="1" fontId="12" fillId="2" borderId="33" xfId="0" applyNumberFormat="1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21" fillId="2" borderId="33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 wrapText="1"/>
    </xf>
    <xf numFmtId="0" fontId="22" fillId="2" borderId="35" xfId="0" applyFont="1" applyFill="1" applyBorder="1" applyAlignment="1">
      <alignment horizontal="center" vertical="center" wrapText="1"/>
    </xf>
    <xf numFmtId="0" fontId="23" fillId="2" borderId="34" xfId="0" applyFont="1" applyFill="1" applyBorder="1" applyAlignment="1">
      <alignment horizontal="center" vertical="center"/>
    </xf>
    <xf numFmtId="0" fontId="23" fillId="2" borderId="35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wrapText="1"/>
    </xf>
    <xf numFmtId="0" fontId="9" fillId="5" borderId="16" xfId="0" applyFont="1" applyFill="1" applyBorder="1" applyAlignment="1">
      <alignment horizontal="center" wrapText="1"/>
    </xf>
    <xf numFmtId="0" fontId="13" fillId="5" borderId="16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1" fontId="8" fillId="5" borderId="9" xfId="0" applyNumberFormat="1" applyFont="1" applyFill="1" applyBorder="1" applyAlignment="1">
      <alignment horizontal="center" vertical="center" shrinkToFit="1"/>
    </xf>
    <xf numFmtId="0" fontId="15" fillId="5" borderId="10" xfId="0" applyFont="1" applyFill="1" applyBorder="1" applyAlignment="1">
      <alignment horizontal="left" vertical="center" wrapText="1" indent="1"/>
    </xf>
    <xf numFmtId="1" fontId="12" fillId="5" borderId="10" xfId="0" applyNumberFormat="1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10" fillId="4" borderId="17" xfId="1" applyAlignment="1" applyProtection="1">
      <alignment horizontal="center" vertical="center" wrapText="1"/>
    </xf>
    <xf numFmtId="0" fontId="11" fillId="4" borderId="20" xfId="1" applyFont="1" applyBorder="1" applyAlignment="1" applyProtection="1">
      <alignment vertical="center" wrapText="1"/>
    </xf>
    <xf numFmtId="1" fontId="8" fillId="2" borderId="37" xfId="0" applyNumberFormat="1" applyFont="1" applyFill="1" applyBorder="1" applyAlignment="1">
      <alignment horizontal="center" vertical="center" shrinkToFit="1"/>
    </xf>
    <xf numFmtId="0" fontId="19" fillId="2" borderId="6" xfId="0" applyFont="1" applyFill="1" applyBorder="1" applyAlignment="1">
      <alignment horizontal="left" vertical="center" wrapText="1" indent="1"/>
    </xf>
    <xf numFmtId="0" fontId="9" fillId="2" borderId="6" xfId="0" applyFont="1" applyFill="1" applyBorder="1" applyAlignment="1">
      <alignment horizontal="center" wrapText="1"/>
    </xf>
    <xf numFmtId="0" fontId="12" fillId="2" borderId="6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3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20" fillId="2" borderId="6" xfId="0" applyFont="1" applyFill="1" applyBorder="1" applyAlignment="1">
      <alignment horizontal="left" vertical="center" wrapText="1" indent="1"/>
    </xf>
    <xf numFmtId="1" fontId="12" fillId="2" borderId="6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>
      <alignment vertical="center"/>
    </xf>
    <xf numFmtId="0" fontId="12" fillId="2" borderId="38" xfId="0" applyFont="1" applyFill="1" applyBorder="1">
      <alignment vertical="center"/>
    </xf>
    <xf numFmtId="0" fontId="9" fillId="0" borderId="1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left" vertical="center" wrapText="1" indent="1"/>
    </xf>
    <xf numFmtId="0" fontId="26" fillId="2" borderId="6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wrapText="1"/>
    </xf>
    <xf numFmtId="0" fontId="9" fillId="5" borderId="16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left" wrapText="1"/>
    </xf>
    <xf numFmtId="0" fontId="27" fillId="0" borderId="0" xfId="0" applyFont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8" fillId="0" borderId="16" xfId="0" applyFont="1" applyBorder="1" applyAlignment="1">
      <alignment horizontal="left" wrapText="1"/>
    </xf>
    <xf numFmtId="0" fontId="17" fillId="0" borderId="16" xfId="0" applyFont="1" applyBorder="1" applyAlignment="1">
      <alignment horizontal="left" wrapText="1"/>
    </xf>
    <xf numFmtId="0" fontId="9" fillId="0" borderId="18" xfId="0" applyFont="1" applyBorder="1" applyAlignment="1">
      <alignment wrapText="1"/>
    </xf>
    <xf numFmtId="0" fontId="9" fillId="5" borderId="16" xfId="0" applyFont="1" applyFill="1" applyBorder="1" applyAlignment="1">
      <alignment horizontal="center" vertical="center" wrapText="1"/>
    </xf>
    <xf numFmtId="0" fontId="10" fillId="4" borderId="17" xfId="1" applyAlignment="1" applyProtection="1">
      <alignment vertical="center"/>
    </xf>
    <xf numFmtId="0" fontId="29" fillId="0" borderId="16" xfId="0" applyFont="1" applyBorder="1" applyAlignment="1">
      <alignment horizontal="center" wrapText="1"/>
    </xf>
    <xf numFmtId="0" fontId="29" fillId="0" borderId="18" xfId="0" applyFont="1" applyBorder="1" applyAlignment="1">
      <alignment horizontal="center" wrapText="1"/>
    </xf>
    <xf numFmtId="0" fontId="11" fillId="4" borderId="20" xfId="1" applyFont="1" applyBorder="1" applyAlignment="1" applyProtection="1">
      <alignment vertical="center"/>
    </xf>
    <xf numFmtId="0" fontId="17" fillId="0" borderId="16" xfId="0" applyFont="1" applyBorder="1" applyAlignment="1">
      <alignment horizontal="left" vertical="top" wrapText="1"/>
    </xf>
    <xf numFmtId="0" fontId="30" fillId="0" borderId="0" xfId="0" applyFont="1" applyAlignment="1">
      <alignment horizontal="center" vertical="center"/>
    </xf>
    <xf numFmtId="0" fontId="15" fillId="0" borderId="15" xfId="0" applyFont="1" applyBorder="1" applyAlignment="1">
      <alignment horizontal="center" vertical="center" wrapText="1"/>
    </xf>
    <xf numFmtId="0" fontId="24" fillId="0" borderId="22" xfId="0" applyFont="1" applyBorder="1">
      <alignment vertical="center"/>
    </xf>
    <xf numFmtId="0" fontId="12" fillId="5" borderId="26" xfId="0" applyFont="1" applyFill="1" applyBorder="1">
      <alignment vertical="center"/>
    </xf>
    <xf numFmtId="0" fontId="12" fillId="5" borderId="22" xfId="0" applyFont="1" applyFill="1" applyBorder="1">
      <alignment vertical="center"/>
    </xf>
    <xf numFmtId="0" fontId="12" fillId="5" borderId="27" xfId="0" applyFont="1" applyFill="1" applyBorder="1">
      <alignment vertical="center"/>
    </xf>
    <xf numFmtId="1" fontId="8" fillId="0" borderId="39" xfId="0" applyNumberFormat="1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left" vertical="center" wrapText="1" indent="1"/>
    </xf>
    <xf numFmtId="0" fontId="9" fillId="0" borderId="25" xfId="0" applyFont="1" applyBorder="1" applyAlignment="1">
      <alignment horizontal="center" wrapText="1"/>
    </xf>
    <xf numFmtId="0" fontId="25" fillId="6" borderId="37" xfId="0" applyFont="1" applyFill="1" applyBorder="1" applyAlignment="1">
      <alignment horizontal="center" vertical="center"/>
    </xf>
    <xf numFmtId="0" fontId="12" fillId="6" borderId="38" xfId="0" applyFont="1" applyFill="1" applyBorder="1">
      <alignment vertical="center"/>
    </xf>
    <xf numFmtId="0" fontId="20" fillId="2" borderId="29" xfId="0" applyFont="1" applyFill="1" applyBorder="1" applyAlignment="1">
      <alignment horizontal="left" vertical="center" wrapText="1" indent="1"/>
    </xf>
    <xf numFmtId="1" fontId="12" fillId="2" borderId="29" xfId="0" applyNumberFormat="1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2" fillId="2" borderId="29" xfId="0" applyFont="1" applyFill="1" applyBorder="1">
      <alignment vertical="center"/>
    </xf>
    <xf numFmtId="0" fontId="12" fillId="2" borderId="31" xfId="0" applyFont="1" applyFill="1" applyBorder="1">
      <alignment vertical="center"/>
    </xf>
    <xf numFmtId="1" fontId="25" fillId="2" borderId="33" xfId="0" applyNumberFormat="1" applyFont="1" applyFill="1" applyBorder="1" applyAlignment="1">
      <alignment horizontal="center" vertical="center" wrapText="1"/>
    </xf>
    <xf numFmtId="0" fontId="22" fillId="2" borderId="40" xfId="0" applyFont="1" applyFill="1" applyBorder="1" applyAlignment="1">
      <alignment horizontal="center" vertical="center" wrapText="1"/>
    </xf>
    <xf numFmtId="0" fontId="12" fillId="2" borderId="35" xfId="0" applyFont="1" applyFill="1" applyBorder="1">
      <alignment vertical="center"/>
    </xf>
    <xf numFmtId="0" fontId="12" fillId="2" borderId="36" xfId="0" applyFont="1" applyFill="1" applyBorder="1">
      <alignment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left" vertical="center" wrapText="1"/>
    </xf>
    <xf numFmtId="0" fontId="10" fillId="4" borderId="11" xfId="1" applyBorder="1" applyAlignment="1" applyProtection="1">
      <alignment horizontal="center" vertical="center" wrapText="1"/>
    </xf>
    <xf numFmtId="0" fontId="10" fillId="4" borderId="41" xfId="1" applyBorder="1" applyAlignment="1" applyProtection="1">
      <alignment horizontal="center" vertical="center" wrapText="1"/>
    </xf>
    <xf numFmtId="0" fontId="11" fillId="4" borderId="11" xfId="1" applyFont="1" applyBorder="1" applyAlignment="1" applyProtection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31" fillId="5" borderId="4" xfId="0" applyFont="1" applyFill="1" applyBorder="1">
      <alignment vertical="center"/>
    </xf>
    <xf numFmtId="0" fontId="12" fillId="5" borderId="0" xfId="0" applyFont="1" applyFill="1">
      <alignment vertical="center"/>
    </xf>
    <xf numFmtId="0" fontId="12" fillId="5" borderId="5" xfId="0" applyFont="1" applyFill="1" applyBorder="1">
      <alignment vertical="center"/>
    </xf>
    <xf numFmtId="0" fontId="15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4" borderId="42" xfId="1" applyBorder="1" applyAlignment="1" applyProtection="1">
      <alignment horizontal="center" vertical="center" wrapText="1"/>
    </xf>
    <xf numFmtId="0" fontId="11" fillId="4" borderId="17" xfId="1" applyFont="1" applyAlignment="1" applyProtection="1">
      <alignment vertical="center" wrapText="1"/>
    </xf>
    <xf numFmtId="0" fontId="9" fillId="0" borderId="18" xfId="0" applyFont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left" vertical="center"/>
    </xf>
    <xf numFmtId="0" fontId="12" fillId="5" borderId="16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left" vertical="center"/>
    </xf>
    <xf numFmtId="0" fontId="10" fillId="4" borderId="17" xfId="1" applyAlignment="1" applyProtection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1" fillId="4" borderId="17" xfId="1" applyFont="1" applyAlignment="1" applyProtection="1">
      <alignment vertical="center"/>
    </xf>
    <xf numFmtId="0" fontId="32" fillId="5" borderId="4" xfId="0" applyFont="1" applyFill="1" applyBorder="1">
      <alignment vertical="center"/>
    </xf>
    <xf numFmtId="0" fontId="15" fillId="5" borderId="21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left" vertical="center" wrapText="1"/>
    </xf>
    <xf numFmtId="0" fontId="12" fillId="5" borderId="22" xfId="0" applyFont="1" applyFill="1" applyBorder="1" applyAlignment="1">
      <alignment horizontal="center" vertical="center"/>
    </xf>
    <xf numFmtId="0" fontId="10" fillId="4" borderId="23" xfId="1" applyBorder="1" applyAlignment="1" applyProtection="1">
      <alignment horizontal="center" vertical="center"/>
    </xf>
    <xf numFmtId="0" fontId="11" fillId="4" borderId="23" xfId="1" applyFont="1" applyBorder="1" applyAlignment="1" applyProtection="1">
      <alignment vertical="center"/>
    </xf>
    <xf numFmtId="0" fontId="12" fillId="5" borderId="26" xfId="0" applyFont="1" applyFill="1" applyBorder="1" applyAlignment="1">
      <alignment horizontal="center" vertical="center"/>
    </xf>
    <xf numFmtId="0" fontId="24" fillId="5" borderId="43" xfId="0" applyFont="1" applyFill="1" applyBorder="1">
      <alignment vertical="center"/>
    </xf>
    <xf numFmtId="0" fontId="12" fillId="5" borderId="44" xfId="0" applyFont="1" applyFill="1" applyBorder="1">
      <alignment vertical="center"/>
    </xf>
    <xf numFmtId="0" fontId="12" fillId="5" borderId="45" xfId="0" applyFont="1" applyFill="1" applyBorder="1">
      <alignment vertical="center"/>
    </xf>
    <xf numFmtId="0" fontId="21" fillId="2" borderId="6" xfId="0" applyFont="1" applyFill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1" fontId="24" fillId="0" borderId="0" xfId="0" applyNumberFormat="1" applyFont="1">
      <alignment vertical="center"/>
    </xf>
    <xf numFmtId="1" fontId="12" fillId="6" borderId="8" xfId="0" applyNumberFormat="1" applyFont="1" applyFill="1" applyBorder="1" applyAlignment="1">
      <alignment horizontal="center" vertical="center"/>
    </xf>
    <xf numFmtId="0" fontId="33" fillId="0" borderId="16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/>
    </xf>
    <xf numFmtId="0" fontId="3" fillId="3" borderId="4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Check Cell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84"/>
  <sheetViews>
    <sheetView tabSelected="1" zoomScale="91" zoomScaleNormal="91" workbookViewId="0">
      <pane xSplit="2" ySplit="8" topLeftCell="C54" activePane="bottomRight" state="frozen"/>
      <selection pane="topRight" activeCell="C1" sqref="C1"/>
      <selection pane="bottomLeft" activeCell="A9" sqref="A9"/>
      <selection pane="bottomRight" activeCell="C52" sqref="C52"/>
    </sheetView>
  </sheetViews>
  <sheetFormatPr defaultColWidth="10" defaultRowHeight="12.75"/>
  <cols>
    <col min="1" max="1" width="6.83203125" customWidth="1"/>
    <col min="2" max="2" width="38.83203125" customWidth="1"/>
    <col min="3" max="3" width="11" customWidth="1"/>
    <col min="4" max="4" width="12.6640625" customWidth="1"/>
    <col min="5" max="5" width="16.33203125" customWidth="1"/>
    <col min="6" max="6" width="15.33203125" customWidth="1"/>
    <col min="7" max="7" width="16.33203125" customWidth="1"/>
    <col min="8" max="8" width="12.1640625" customWidth="1"/>
    <col min="9" max="9" width="14.5" customWidth="1"/>
    <col min="10" max="10" width="42.83203125" bestFit="1" customWidth="1"/>
    <col min="11" max="12" width="15.6640625" customWidth="1"/>
    <col min="13" max="13" width="17.6640625" customWidth="1"/>
    <col min="14" max="14" width="3.83203125" customWidth="1"/>
    <col min="15" max="15" width="7.33203125" customWidth="1"/>
    <col min="16" max="16" width="13.5" customWidth="1"/>
    <col min="17" max="17" width="13.33203125" customWidth="1"/>
    <col min="18" max="22" width="10" hidden="1" customWidth="1"/>
    <col min="23" max="26" width="10" customWidth="1"/>
    <col min="16384" max="16384" width="2.33203125" customWidth="1"/>
  </cols>
  <sheetData>
    <row r="1" spans="1:26" ht="27" customHeight="1">
      <c r="A1" s="176" t="s">
        <v>78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"/>
      <c r="M1" s="2"/>
    </row>
    <row r="2" spans="1:26" ht="20.25" customHeight="1">
      <c r="A2" s="174" t="s">
        <v>129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3"/>
      <c r="M2" s="4"/>
    </row>
    <row r="3" spans="1:26" ht="20.25" customHeight="1">
      <c r="A3" s="174" t="s">
        <v>130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3"/>
      <c r="M3" s="4"/>
    </row>
    <row r="4" spans="1:26" ht="20.25" customHeight="1">
      <c r="A4" s="174" t="s">
        <v>131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3"/>
      <c r="M4" s="4"/>
    </row>
    <row r="5" spans="1:26" ht="20.25" customHeight="1">
      <c r="A5" s="174" t="s">
        <v>136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3"/>
      <c r="M5" s="4"/>
    </row>
    <row r="6" spans="1:26" ht="20.25" customHeight="1">
      <c r="A6" s="174" t="s">
        <v>132</v>
      </c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3"/>
      <c r="M6" s="4"/>
    </row>
    <row r="7" spans="1:26" ht="20.25" customHeight="1">
      <c r="A7" s="174" t="s">
        <v>133</v>
      </c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5"/>
      <c r="M7" s="6"/>
    </row>
    <row r="8" spans="1:26" ht="42" customHeight="1">
      <c r="A8" s="7" t="s">
        <v>79</v>
      </c>
      <c r="B8" s="8" t="s">
        <v>0</v>
      </c>
      <c r="C8" s="9" t="s">
        <v>49</v>
      </c>
      <c r="D8" s="8" t="s">
        <v>47</v>
      </c>
      <c r="E8" s="8" t="s">
        <v>80</v>
      </c>
      <c r="F8" s="10" t="s">
        <v>111</v>
      </c>
      <c r="G8" s="11" t="s">
        <v>81</v>
      </c>
      <c r="H8" s="12" t="s">
        <v>63</v>
      </c>
      <c r="I8" s="12" t="s">
        <v>74</v>
      </c>
      <c r="J8" s="8" t="s">
        <v>77</v>
      </c>
      <c r="K8" s="12" t="s">
        <v>53</v>
      </c>
      <c r="L8" s="8" t="s">
        <v>63</v>
      </c>
      <c r="M8" s="13" t="s">
        <v>74</v>
      </c>
      <c r="R8" s="9" t="s">
        <v>49</v>
      </c>
      <c r="S8" s="8" t="s">
        <v>47</v>
      </c>
      <c r="T8" s="8" t="s">
        <v>80</v>
      </c>
      <c r="U8" s="10" t="s">
        <v>111</v>
      </c>
      <c r="V8" s="11" t="s">
        <v>81</v>
      </c>
    </row>
    <row r="9" spans="1:26" ht="18" customHeight="1">
      <c r="A9" s="14">
        <v>1</v>
      </c>
      <c r="B9" s="15" t="s">
        <v>1</v>
      </c>
      <c r="C9" s="16">
        <v>20</v>
      </c>
      <c r="D9" s="17"/>
      <c r="E9" s="17"/>
      <c r="F9" s="17"/>
      <c r="G9" s="18"/>
      <c r="H9" s="19">
        <f>C9+D9+E9+F9+G9</f>
        <v>20</v>
      </c>
      <c r="I9" s="19">
        <f>+(C9*R9)+(D9*S9)+(E9*T9)+(F9*U9)+(G9*V9)</f>
        <v>5236.7262082436537</v>
      </c>
      <c r="J9" s="20" t="s">
        <v>61</v>
      </c>
      <c r="K9" s="21">
        <v>0</v>
      </c>
      <c r="L9" s="19">
        <f>K9</f>
        <v>0</v>
      </c>
      <c r="M9" s="22">
        <f>K9*1354.5</f>
        <v>0</v>
      </c>
      <c r="R9">
        <v>261.83631041218268</v>
      </c>
      <c r="S9">
        <v>0</v>
      </c>
      <c r="T9">
        <v>0</v>
      </c>
      <c r="U9">
        <v>0</v>
      </c>
      <c r="V9">
        <v>0</v>
      </c>
    </row>
    <row r="10" spans="1:26" ht="16.5" customHeight="1">
      <c r="A10" s="23">
        <v>2</v>
      </c>
      <c r="B10" s="24" t="s">
        <v>2</v>
      </c>
      <c r="C10" s="25">
        <v>50</v>
      </c>
      <c r="D10" s="25"/>
      <c r="E10" s="26"/>
      <c r="F10" s="26"/>
      <c r="G10" s="27"/>
      <c r="H10" s="19">
        <f t="shared" ref="H10:H73" si="0">C10+D10+E10+F10+G10</f>
        <v>50</v>
      </c>
      <c r="I10" s="28">
        <f t="shared" ref="I10:I20" si="1">+(C10*R10)+(D10*S10)+(E10*T10)+(F10*U10)+(G10*V10)</f>
        <v>13091.815520609134</v>
      </c>
      <c r="J10" s="29" t="s">
        <v>83</v>
      </c>
      <c r="K10" s="30">
        <v>0</v>
      </c>
      <c r="L10" s="19">
        <f t="shared" ref="L10" si="2">K10</f>
        <v>0</v>
      </c>
      <c r="M10" s="22">
        <f>K10*1608.47</f>
        <v>0</v>
      </c>
      <c r="R10">
        <v>261.83631041218268</v>
      </c>
      <c r="S10">
        <v>335.42976939203345</v>
      </c>
      <c r="T10">
        <v>0</v>
      </c>
      <c r="U10">
        <v>0</v>
      </c>
      <c r="V10">
        <v>0</v>
      </c>
    </row>
    <row r="11" spans="1:26" ht="16.5" customHeight="1">
      <c r="A11" s="23">
        <v>3</v>
      </c>
      <c r="B11" s="24" t="s">
        <v>3</v>
      </c>
      <c r="C11" s="25">
        <v>10</v>
      </c>
      <c r="D11" s="26"/>
      <c r="E11" s="26"/>
      <c r="F11" s="26"/>
      <c r="G11" s="27"/>
      <c r="H11" s="19">
        <f t="shared" si="0"/>
        <v>10</v>
      </c>
      <c r="I11" s="28">
        <f t="shared" si="1"/>
        <v>3491.1508054957685</v>
      </c>
      <c r="J11" s="29" t="s">
        <v>84</v>
      </c>
      <c r="K11" s="30">
        <v>0</v>
      </c>
      <c r="L11" s="19">
        <f>K11</f>
        <v>0</v>
      </c>
      <c r="M11" s="22">
        <f>K11*2201.06</f>
        <v>0</v>
      </c>
      <c r="Q11" s="31"/>
      <c r="R11" s="31">
        <v>349.11508054957687</v>
      </c>
      <c r="S11" s="31">
        <v>0</v>
      </c>
      <c r="T11" s="31">
        <v>0</v>
      </c>
      <c r="U11" s="31">
        <v>0</v>
      </c>
      <c r="V11" s="31">
        <v>0</v>
      </c>
      <c r="W11" s="31"/>
      <c r="Z11">
        <f>SUM(W11:Y11)</f>
        <v>0</v>
      </c>
    </row>
    <row r="12" spans="1:26" ht="16.5" customHeight="1">
      <c r="A12" s="23">
        <v>4</v>
      </c>
      <c r="B12" s="24" t="s">
        <v>4</v>
      </c>
      <c r="C12" s="25">
        <v>20</v>
      </c>
      <c r="D12" s="25"/>
      <c r="E12" s="26"/>
      <c r="F12" s="26"/>
      <c r="G12" s="27"/>
      <c r="H12" s="19">
        <f t="shared" si="0"/>
        <v>20</v>
      </c>
      <c r="I12" s="28">
        <f t="shared" si="1"/>
        <v>5236.7262082436537</v>
      </c>
      <c r="J12" s="29" t="s">
        <v>60</v>
      </c>
      <c r="K12" s="33">
        <v>0</v>
      </c>
      <c r="L12" s="19">
        <f t="shared" ref="L12:L13" si="3">K12</f>
        <v>0</v>
      </c>
      <c r="M12" s="34">
        <f>K12*1396.4</f>
        <v>0</v>
      </c>
      <c r="Q12" s="31"/>
      <c r="R12" s="31">
        <v>261.83631041218268</v>
      </c>
      <c r="S12" s="31">
        <v>335.42976939203345</v>
      </c>
      <c r="T12" s="31">
        <v>0</v>
      </c>
      <c r="U12" s="31">
        <v>0</v>
      </c>
      <c r="V12" s="31">
        <v>0</v>
      </c>
      <c r="W12" s="31"/>
      <c r="Z12">
        <f t="shared" ref="Z12:Z13" si="4">SUM(W12:Y12)</f>
        <v>0</v>
      </c>
    </row>
    <row r="13" spans="1:26" ht="16.5" customHeight="1">
      <c r="A13" s="23">
        <v>5</v>
      </c>
      <c r="B13" s="24" t="s">
        <v>5</v>
      </c>
      <c r="C13" s="25">
        <v>15</v>
      </c>
      <c r="D13" s="25"/>
      <c r="E13" s="26"/>
      <c r="F13" s="26"/>
      <c r="G13" s="27"/>
      <c r="H13" s="19">
        <f t="shared" si="0"/>
        <v>15</v>
      </c>
      <c r="I13" s="28">
        <f t="shared" si="1"/>
        <v>5236.7262082436528</v>
      </c>
      <c r="J13" s="38" t="s">
        <v>59</v>
      </c>
      <c r="K13" s="33">
        <v>0</v>
      </c>
      <c r="L13" s="19">
        <f t="shared" si="3"/>
        <v>0</v>
      </c>
      <c r="M13" s="34">
        <f>K13*1750.06</f>
        <v>0</v>
      </c>
      <c r="Q13" s="31"/>
      <c r="R13" s="31">
        <v>349.11508054957687</v>
      </c>
      <c r="S13" s="31">
        <v>335.42976939203345</v>
      </c>
      <c r="T13" s="31">
        <v>0</v>
      </c>
      <c r="U13" s="31">
        <v>0</v>
      </c>
      <c r="V13" s="31">
        <v>0</v>
      </c>
      <c r="W13" s="31"/>
      <c r="Z13">
        <f t="shared" si="4"/>
        <v>0</v>
      </c>
    </row>
    <row r="14" spans="1:26" ht="16.5" customHeight="1">
      <c r="A14" s="23">
        <v>6</v>
      </c>
      <c r="B14" s="24" t="s">
        <v>6</v>
      </c>
      <c r="C14" s="25">
        <v>20</v>
      </c>
      <c r="D14" s="26"/>
      <c r="E14" s="26"/>
      <c r="F14" s="26"/>
      <c r="G14" s="27"/>
      <c r="H14" s="19">
        <f t="shared" si="0"/>
        <v>20</v>
      </c>
      <c r="I14" s="28">
        <f t="shared" si="1"/>
        <v>6982.301610991537</v>
      </c>
      <c r="J14" s="71" t="s">
        <v>64</v>
      </c>
      <c r="K14" s="33"/>
      <c r="L14" s="25">
        <f>K14</f>
        <v>0</v>
      </c>
      <c r="M14" s="34">
        <f>K14*634.92</f>
        <v>0</v>
      </c>
      <c r="Q14" s="31"/>
      <c r="R14" s="31">
        <v>349.11508054957687</v>
      </c>
      <c r="S14" s="31">
        <v>0</v>
      </c>
      <c r="T14" s="31">
        <v>0</v>
      </c>
      <c r="U14" s="31">
        <v>0</v>
      </c>
      <c r="V14" s="31">
        <v>0</v>
      </c>
      <c r="W14" s="31"/>
      <c r="Z14">
        <f>SUM(Z11:Z13)</f>
        <v>0</v>
      </c>
    </row>
    <row r="15" spans="1:26" ht="16.5" customHeight="1">
      <c r="A15" s="23">
        <v>7</v>
      </c>
      <c r="B15" s="24" t="s">
        <v>7</v>
      </c>
      <c r="C15" s="25">
        <v>10</v>
      </c>
      <c r="D15" s="25"/>
      <c r="E15" s="26"/>
      <c r="F15" s="26"/>
      <c r="G15" s="27"/>
      <c r="H15" s="19">
        <f t="shared" si="0"/>
        <v>10</v>
      </c>
      <c r="I15" s="28">
        <f t="shared" si="1"/>
        <v>3491.1508054957685</v>
      </c>
      <c r="J15" s="71" t="s">
        <v>65</v>
      </c>
      <c r="K15" s="33">
        <v>0</v>
      </c>
      <c r="L15" s="25">
        <f t="shared" ref="L15:L17" si="5">K15</f>
        <v>0</v>
      </c>
      <c r="M15" s="34">
        <f t="shared" ref="M15:M17" si="6">K15*634.92</f>
        <v>0</v>
      </c>
      <c r="Q15" s="35"/>
      <c r="R15">
        <v>349.11508054957687</v>
      </c>
      <c r="S15">
        <v>335.42976939203345</v>
      </c>
      <c r="T15">
        <v>0</v>
      </c>
      <c r="U15">
        <v>0</v>
      </c>
      <c r="V15">
        <v>0</v>
      </c>
    </row>
    <row r="16" spans="1:26" ht="16.5" customHeight="1">
      <c r="A16" s="23">
        <v>8</v>
      </c>
      <c r="B16" s="24" t="s">
        <v>8</v>
      </c>
      <c r="C16" s="25">
        <v>25</v>
      </c>
      <c r="D16" s="25"/>
      <c r="E16" s="26"/>
      <c r="F16" s="26"/>
      <c r="G16" s="27"/>
      <c r="H16" s="19">
        <f t="shared" si="0"/>
        <v>25</v>
      </c>
      <c r="I16" s="28">
        <f t="shared" si="1"/>
        <v>8727.8770137394222</v>
      </c>
      <c r="J16" s="71" t="s">
        <v>66</v>
      </c>
      <c r="K16" s="33"/>
      <c r="L16" s="25">
        <f t="shared" si="5"/>
        <v>0</v>
      </c>
      <c r="M16" s="34">
        <f t="shared" si="6"/>
        <v>0</v>
      </c>
      <c r="Q16" s="36"/>
      <c r="R16">
        <v>349.11508054957687</v>
      </c>
      <c r="S16">
        <v>335.42976939203345</v>
      </c>
      <c r="T16">
        <v>0</v>
      </c>
      <c r="U16">
        <v>0</v>
      </c>
      <c r="V16">
        <v>0</v>
      </c>
      <c r="W16" s="31"/>
    </row>
    <row r="17" spans="1:23" ht="16.5" customHeight="1">
      <c r="A17" s="23">
        <v>9</v>
      </c>
      <c r="B17" s="24" t="s">
        <v>9</v>
      </c>
      <c r="C17" s="25">
        <v>30</v>
      </c>
      <c r="D17" s="25"/>
      <c r="E17" s="26"/>
      <c r="F17" s="26"/>
      <c r="G17" s="27"/>
      <c r="H17" s="19">
        <f t="shared" si="0"/>
        <v>30</v>
      </c>
      <c r="I17" s="28">
        <f t="shared" si="1"/>
        <v>10473.452416487306</v>
      </c>
      <c r="J17" s="71" t="s">
        <v>67</v>
      </c>
      <c r="K17" s="33">
        <v>0</v>
      </c>
      <c r="L17" s="25">
        <f t="shared" si="5"/>
        <v>0</v>
      </c>
      <c r="M17" s="34">
        <f t="shared" si="6"/>
        <v>0</v>
      </c>
      <c r="Q17" s="36"/>
      <c r="R17">
        <v>349.11508054957687</v>
      </c>
      <c r="S17">
        <v>335.42976939203345</v>
      </c>
      <c r="T17">
        <v>0</v>
      </c>
      <c r="U17">
        <v>0</v>
      </c>
      <c r="V17">
        <v>0</v>
      </c>
      <c r="W17" s="31"/>
    </row>
    <row r="18" spans="1:23" ht="16.5" customHeight="1">
      <c r="A18" s="23">
        <v>10</v>
      </c>
      <c r="B18" s="24" t="s">
        <v>10</v>
      </c>
      <c r="C18" s="25">
        <v>100</v>
      </c>
      <c r="D18" s="26"/>
      <c r="E18" s="26"/>
      <c r="F18" s="26"/>
      <c r="G18" s="37"/>
      <c r="H18" s="19">
        <f t="shared" si="0"/>
        <v>100</v>
      </c>
      <c r="I18" s="28">
        <f t="shared" si="1"/>
        <v>26183.631041218268</v>
      </c>
      <c r="J18" s="38"/>
      <c r="K18" s="33"/>
      <c r="L18" s="19"/>
      <c r="M18" s="34"/>
      <c r="Q18" s="36"/>
      <c r="R18">
        <v>261.83631041218268</v>
      </c>
      <c r="S18">
        <v>0</v>
      </c>
      <c r="T18">
        <v>0</v>
      </c>
      <c r="U18">
        <v>0</v>
      </c>
      <c r="V18">
        <v>0</v>
      </c>
      <c r="W18" s="31"/>
    </row>
    <row r="19" spans="1:23" ht="16.5" customHeight="1">
      <c r="A19" s="23">
        <v>11</v>
      </c>
      <c r="B19" s="24" t="s">
        <v>11</v>
      </c>
      <c r="C19" s="25">
        <v>20</v>
      </c>
      <c r="D19" s="26"/>
      <c r="E19" s="26"/>
      <c r="F19" s="26"/>
      <c r="G19" s="37"/>
      <c r="H19" s="19">
        <f t="shared" si="0"/>
        <v>20</v>
      </c>
      <c r="I19" s="28">
        <f t="shared" si="1"/>
        <v>6982.301610991537</v>
      </c>
      <c r="J19" s="39"/>
      <c r="K19" s="33"/>
      <c r="L19" s="25"/>
      <c r="M19" s="34"/>
      <c r="Q19" s="35"/>
      <c r="R19">
        <v>349.11508054957687</v>
      </c>
      <c r="S19">
        <v>0</v>
      </c>
      <c r="T19">
        <v>0</v>
      </c>
      <c r="U19">
        <v>0</v>
      </c>
      <c r="V19">
        <v>0</v>
      </c>
    </row>
    <row r="20" spans="1:23" ht="16.5" customHeight="1">
      <c r="A20" s="40">
        <v>12</v>
      </c>
      <c r="B20" s="41" t="s">
        <v>12</v>
      </c>
      <c r="C20" s="42">
        <v>20</v>
      </c>
      <c r="D20" s="43"/>
      <c r="E20" s="43"/>
      <c r="F20" s="43"/>
      <c r="G20" s="44"/>
      <c r="H20" s="45">
        <f t="shared" si="0"/>
        <v>20</v>
      </c>
      <c r="I20" s="46">
        <f t="shared" si="1"/>
        <v>6982.301610991537</v>
      </c>
      <c r="J20" s="47"/>
      <c r="K20" s="48"/>
      <c r="L20" s="42"/>
      <c r="M20" s="49"/>
      <c r="Q20" s="35"/>
      <c r="R20">
        <v>349.11508054957687</v>
      </c>
      <c r="S20">
        <v>0</v>
      </c>
      <c r="T20">
        <v>0</v>
      </c>
      <c r="U20">
        <v>0</v>
      </c>
      <c r="V20">
        <v>0</v>
      </c>
    </row>
    <row r="21" spans="1:23" ht="19.5" customHeight="1">
      <c r="A21" s="50"/>
      <c r="B21" s="51"/>
      <c r="C21" s="52">
        <f>SUM(C9:C20)</f>
        <v>340</v>
      </c>
      <c r="D21" s="52">
        <f t="shared" ref="D21:G21" si="7">SUM(D9:D20)</f>
        <v>0</v>
      </c>
      <c r="E21" s="52">
        <f t="shared" si="7"/>
        <v>0</v>
      </c>
      <c r="F21" s="52">
        <f t="shared" si="7"/>
        <v>0</v>
      </c>
      <c r="G21" s="52">
        <f t="shared" si="7"/>
        <v>0</v>
      </c>
      <c r="H21" s="53">
        <f>SUM(H9:H20)</f>
        <v>340</v>
      </c>
      <c r="I21" s="53">
        <f>SUM(I9:I20)</f>
        <v>102116.16106075123</v>
      </c>
      <c r="J21" s="54"/>
      <c r="K21" s="55"/>
      <c r="L21" s="52"/>
      <c r="M21" s="56"/>
      <c r="Q21" s="35"/>
    </row>
    <row r="22" spans="1:23" ht="21" customHeight="1" thickBot="1">
      <c r="A22" s="57"/>
      <c r="B22" s="58"/>
      <c r="C22" s="59" t="s">
        <v>49</v>
      </c>
      <c r="D22" s="60" t="s">
        <v>47</v>
      </c>
      <c r="E22" s="61" t="s">
        <v>71</v>
      </c>
      <c r="F22" s="60" t="s">
        <v>111</v>
      </c>
      <c r="G22" s="62"/>
      <c r="H22" s="63"/>
      <c r="I22" s="64"/>
      <c r="J22" s="65" t="s">
        <v>82</v>
      </c>
      <c r="K22" s="66" t="s">
        <v>53</v>
      </c>
      <c r="L22" s="67" t="s">
        <v>63</v>
      </c>
      <c r="M22" s="68" t="s">
        <v>74</v>
      </c>
      <c r="Q22" s="35"/>
    </row>
    <row r="23" spans="1:23" ht="16.5" customHeight="1" thickBot="1">
      <c r="A23" s="14">
        <v>13</v>
      </c>
      <c r="B23" s="15" t="s">
        <v>13</v>
      </c>
      <c r="C23" s="16">
        <v>20</v>
      </c>
      <c r="D23" s="16"/>
      <c r="E23" s="69"/>
      <c r="F23" s="69"/>
      <c r="G23" s="18"/>
      <c r="H23" s="19">
        <f t="shared" si="0"/>
        <v>20</v>
      </c>
      <c r="I23" s="19">
        <f t="shared" ref="I23:I30" si="8">+(C23*R23)+(D23*S23)+(E23*T23)+(F23*U23)+(G23*V23)</f>
        <v>10062.893081761003</v>
      </c>
      <c r="J23" s="108" t="s">
        <v>92</v>
      </c>
      <c r="K23" s="106"/>
      <c r="L23" s="28">
        <f t="shared" ref="L23:L37" si="9">K23</f>
        <v>0</v>
      </c>
      <c r="M23" s="32">
        <f>L23*1397.624</f>
        <v>0</v>
      </c>
      <c r="Q23" s="35"/>
      <c r="R23">
        <v>503.14465408805017</v>
      </c>
      <c r="S23">
        <v>969.07676057020444</v>
      </c>
      <c r="T23">
        <v>559.04961565338908</v>
      </c>
      <c r="U23">
        <v>684</v>
      </c>
      <c r="V23">
        <v>0</v>
      </c>
    </row>
    <row r="24" spans="1:23" ht="16.5" customHeight="1" thickTop="1" thickBot="1">
      <c r="A24" s="23">
        <v>14</v>
      </c>
      <c r="B24" s="24" t="s">
        <v>14</v>
      </c>
      <c r="C24" s="25"/>
      <c r="D24" s="25"/>
      <c r="E24" s="70"/>
      <c r="F24" s="69"/>
      <c r="G24" s="37"/>
      <c r="H24" s="19">
        <f t="shared" si="0"/>
        <v>0</v>
      </c>
      <c r="I24" s="28">
        <f t="shared" si="8"/>
        <v>0</v>
      </c>
      <c r="J24" s="108" t="s">
        <v>93</v>
      </c>
      <c r="K24" s="106"/>
      <c r="L24" s="28">
        <f t="shared" si="9"/>
        <v>0</v>
      </c>
      <c r="M24" s="32">
        <f>L24*1397.624</f>
        <v>0</v>
      </c>
      <c r="Q24" s="35"/>
      <c r="R24">
        <v>503.14465408805017</v>
      </c>
      <c r="S24">
        <v>969.07676057020444</v>
      </c>
      <c r="T24">
        <v>559.04961565338908</v>
      </c>
      <c r="U24">
        <v>684</v>
      </c>
      <c r="V24">
        <v>0</v>
      </c>
    </row>
    <row r="25" spans="1:23" ht="16.5" customHeight="1" thickTop="1" thickBot="1">
      <c r="A25" s="23">
        <v>15</v>
      </c>
      <c r="B25" s="24" t="s">
        <v>15</v>
      </c>
      <c r="C25" s="25">
        <v>20</v>
      </c>
      <c r="D25" s="25"/>
      <c r="E25" s="26"/>
      <c r="F25" s="69"/>
      <c r="G25" s="37"/>
      <c r="H25" s="19">
        <f t="shared" si="0"/>
        <v>20</v>
      </c>
      <c r="I25" s="28">
        <f t="shared" si="8"/>
        <v>10062.893081761003</v>
      </c>
      <c r="J25" s="108" t="s">
        <v>94</v>
      </c>
      <c r="K25" s="106">
        <v>0</v>
      </c>
      <c r="L25" s="28">
        <f t="shared" si="9"/>
        <v>0</v>
      </c>
      <c r="M25" s="32">
        <f>L25*2010</f>
        <v>0</v>
      </c>
      <c r="Q25" s="35"/>
      <c r="R25">
        <v>503.14465408805017</v>
      </c>
      <c r="S25">
        <v>969.07676057020444</v>
      </c>
      <c r="T25">
        <v>0</v>
      </c>
      <c r="U25">
        <v>684</v>
      </c>
      <c r="V25">
        <v>0</v>
      </c>
    </row>
    <row r="26" spans="1:23" ht="16.5" customHeight="1" thickTop="1" thickBot="1">
      <c r="A26" s="23">
        <v>16</v>
      </c>
      <c r="B26" s="24" t="s">
        <v>16</v>
      </c>
      <c r="C26" s="25"/>
      <c r="D26" s="25"/>
      <c r="E26" s="26"/>
      <c r="F26" s="69"/>
      <c r="G26" s="37"/>
      <c r="H26" s="19">
        <f t="shared" si="0"/>
        <v>0</v>
      </c>
      <c r="I26" s="28">
        <f t="shared" si="8"/>
        <v>0</v>
      </c>
      <c r="J26" s="108" t="s">
        <v>95</v>
      </c>
      <c r="K26" s="106">
        <v>0</v>
      </c>
      <c r="L26" s="28">
        <f t="shared" si="9"/>
        <v>0</v>
      </c>
      <c r="M26" s="32">
        <f>L26*2155.2</f>
        <v>0</v>
      </c>
      <c r="Q26" s="35"/>
      <c r="R26">
        <v>503.14465408805017</v>
      </c>
      <c r="S26">
        <v>969.07676057020444</v>
      </c>
      <c r="T26">
        <v>0</v>
      </c>
      <c r="U26">
        <v>684</v>
      </c>
      <c r="V26">
        <v>0</v>
      </c>
    </row>
    <row r="27" spans="1:23" ht="16.5" customHeight="1" thickTop="1" thickBot="1">
      <c r="A27" s="72">
        <v>17</v>
      </c>
      <c r="B27" s="24" t="s">
        <v>57</v>
      </c>
      <c r="C27" s="25">
        <v>10</v>
      </c>
      <c r="D27" s="25"/>
      <c r="E27" s="25"/>
      <c r="F27" s="69"/>
      <c r="G27" s="37"/>
      <c r="H27" s="19">
        <f t="shared" si="0"/>
        <v>10</v>
      </c>
      <c r="I27" s="28">
        <f t="shared" si="8"/>
        <v>5031.4465408805017</v>
      </c>
      <c r="J27" s="108" t="s">
        <v>96</v>
      </c>
      <c r="K27" s="106">
        <v>0</v>
      </c>
      <c r="L27" s="28">
        <f t="shared" si="9"/>
        <v>0</v>
      </c>
      <c r="M27" s="32">
        <f>L27*1920</f>
        <v>0</v>
      </c>
      <c r="Q27" s="35"/>
      <c r="R27">
        <v>503.14465408805017</v>
      </c>
      <c r="S27">
        <v>969.07676057020444</v>
      </c>
      <c r="T27">
        <v>559.04961565338908</v>
      </c>
      <c r="U27">
        <v>684</v>
      </c>
      <c r="V27">
        <v>0</v>
      </c>
    </row>
    <row r="28" spans="1:23" ht="16.5" customHeight="1" thickTop="1" thickBot="1">
      <c r="A28" s="72">
        <v>18</v>
      </c>
      <c r="B28" s="24" t="s">
        <v>58</v>
      </c>
      <c r="C28" s="26"/>
      <c r="D28" s="25">
        <v>5</v>
      </c>
      <c r="E28" s="25"/>
      <c r="F28" s="26"/>
      <c r="G28" s="37"/>
      <c r="H28" s="19">
        <f t="shared" si="0"/>
        <v>5</v>
      </c>
      <c r="I28" s="28">
        <f t="shared" si="8"/>
        <v>5031.4465408805017</v>
      </c>
      <c r="J28" s="108" t="s">
        <v>97</v>
      </c>
      <c r="K28" s="106">
        <v>0</v>
      </c>
      <c r="L28" s="28">
        <f t="shared" si="9"/>
        <v>0</v>
      </c>
      <c r="M28" s="32">
        <f>L28*2075.14</f>
        <v>0</v>
      </c>
      <c r="Q28" s="35"/>
      <c r="R28">
        <v>0</v>
      </c>
      <c r="S28">
        <v>1006.2893081761003</v>
      </c>
      <c r="T28">
        <v>559.04961565338908</v>
      </c>
      <c r="U28">
        <v>0</v>
      </c>
      <c r="V28">
        <v>0</v>
      </c>
    </row>
    <row r="29" spans="1:23" ht="14.25" customHeight="1" thickTop="1" thickBot="1">
      <c r="A29" s="73">
        <v>19</v>
      </c>
      <c r="B29" s="74" t="s">
        <v>62</v>
      </c>
      <c r="C29" s="75"/>
      <c r="D29" s="76"/>
      <c r="E29" s="76"/>
      <c r="F29" s="69"/>
      <c r="G29" s="78"/>
      <c r="H29" s="19">
        <f t="shared" si="0"/>
        <v>0</v>
      </c>
      <c r="I29" s="28">
        <f t="shared" si="8"/>
        <v>0</v>
      </c>
      <c r="J29" s="108" t="s">
        <v>98</v>
      </c>
      <c r="K29" s="106">
        <v>0</v>
      </c>
      <c r="L29" s="28">
        <f t="shared" si="9"/>
        <v>0</v>
      </c>
      <c r="M29" s="32">
        <f>L29*2187</f>
        <v>0</v>
      </c>
      <c r="Q29" s="35"/>
      <c r="R29">
        <v>503.14465408805017</v>
      </c>
      <c r="S29">
        <v>969.07676057020444</v>
      </c>
      <c r="T29">
        <v>559.04961565338908</v>
      </c>
      <c r="U29">
        <v>684</v>
      </c>
      <c r="V29">
        <v>0</v>
      </c>
    </row>
    <row r="30" spans="1:23" ht="16.5" customHeight="1" thickTop="1" thickBot="1">
      <c r="A30" s="40">
        <v>20</v>
      </c>
      <c r="B30" s="41" t="s">
        <v>56</v>
      </c>
      <c r="C30" s="42">
        <v>15</v>
      </c>
      <c r="D30" s="42"/>
      <c r="E30" s="42"/>
      <c r="F30" s="42"/>
      <c r="G30" s="44"/>
      <c r="H30" s="45">
        <f t="shared" si="0"/>
        <v>15</v>
      </c>
      <c r="I30" s="46">
        <f t="shared" si="8"/>
        <v>7547.1698113207531</v>
      </c>
      <c r="J30" s="108" t="s">
        <v>99</v>
      </c>
      <c r="K30" s="106">
        <v>0</v>
      </c>
      <c r="L30" s="28">
        <f t="shared" si="9"/>
        <v>0</v>
      </c>
      <c r="M30" s="32">
        <f>L30*2412</f>
        <v>0</v>
      </c>
      <c r="R30">
        <v>503.14465408805017</v>
      </c>
      <c r="S30">
        <v>969.07676057020444</v>
      </c>
      <c r="T30">
        <v>559.04961565338908</v>
      </c>
      <c r="U30">
        <v>684</v>
      </c>
      <c r="V30">
        <v>0</v>
      </c>
    </row>
    <row r="31" spans="1:23" ht="18.75" customHeight="1" thickBot="1">
      <c r="A31" s="79"/>
      <c r="B31" s="80"/>
      <c r="C31" s="81">
        <f>SUM(C23:C30)</f>
        <v>65</v>
      </c>
      <c r="D31" s="81">
        <f t="shared" ref="D31:G31" si="10">SUM(D23:D30)</f>
        <v>5</v>
      </c>
      <c r="E31" s="81">
        <f t="shared" si="10"/>
        <v>0</v>
      </c>
      <c r="F31" s="81">
        <f t="shared" si="10"/>
        <v>0</v>
      </c>
      <c r="G31" s="81">
        <f t="shared" si="10"/>
        <v>0</v>
      </c>
      <c r="H31" s="82">
        <f t="shared" si="0"/>
        <v>70</v>
      </c>
      <c r="I31" s="82">
        <f>SUM(I23:I30)</f>
        <v>37735.849056603765</v>
      </c>
      <c r="J31" s="108" t="s">
        <v>100</v>
      </c>
      <c r="K31" s="106">
        <v>0</v>
      </c>
      <c r="L31" s="28">
        <f t="shared" si="9"/>
        <v>0</v>
      </c>
      <c r="M31" s="32">
        <f>L31*2256</f>
        <v>0</v>
      </c>
    </row>
    <row r="32" spans="1:23" ht="16.5" customHeight="1" thickBot="1">
      <c r="A32" s="86">
        <v>21</v>
      </c>
      <c r="B32" s="15" t="s">
        <v>50</v>
      </c>
      <c r="C32" s="16">
        <v>20</v>
      </c>
      <c r="D32" s="17"/>
      <c r="E32" s="17"/>
      <c r="F32" s="17"/>
      <c r="G32" s="18"/>
      <c r="H32" s="19">
        <f t="shared" si="0"/>
        <v>20</v>
      </c>
      <c r="I32" s="19">
        <f t="shared" ref="I32:I33" si="11">+(C32*R32)+(D32*S32)+(E32*T32)+(F32*U32)+(G32*V32)</f>
        <v>7701.193685021176</v>
      </c>
      <c r="J32" s="108" t="s">
        <v>101</v>
      </c>
      <c r="K32" s="106">
        <v>0</v>
      </c>
      <c r="L32" s="28">
        <f t="shared" si="9"/>
        <v>0</v>
      </c>
      <c r="M32" s="32">
        <f>L32*2356.16</f>
        <v>0</v>
      </c>
      <c r="R32">
        <v>385.0596842510588</v>
      </c>
      <c r="S32">
        <v>0</v>
      </c>
      <c r="T32">
        <v>0</v>
      </c>
      <c r="U32">
        <v>0</v>
      </c>
      <c r="V32">
        <v>0</v>
      </c>
    </row>
    <row r="33" spans="1:22" ht="16.5" customHeight="1" thickTop="1" thickBot="1">
      <c r="A33" s="87">
        <v>22</v>
      </c>
      <c r="B33" s="41" t="s">
        <v>51</v>
      </c>
      <c r="C33" s="42"/>
      <c r="D33" s="43"/>
      <c r="E33" s="43"/>
      <c r="F33" s="43"/>
      <c r="G33" s="44"/>
      <c r="H33" s="45">
        <f t="shared" si="0"/>
        <v>0</v>
      </c>
      <c r="I33" s="46">
        <f t="shared" si="11"/>
        <v>0</v>
      </c>
      <c r="J33" s="115" t="s">
        <v>102</v>
      </c>
      <c r="K33" s="106">
        <v>0</v>
      </c>
      <c r="L33" s="28">
        <f t="shared" si="9"/>
        <v>0</v>
      </c>
      <c r="M33" s="32">
        <f>L33*1747.68</f>
        <v>0</v>
      </c>
      <c r="R33">
        <v>385.05968425105891</v>
      </c>
      <c r="S33">
        <v>0</v>
      </c>
      <c r="T33">
        <v>0</v>
      </c>
      <c r="U33">
        <v>0</v>
      </c>
      <c r="V33">
        <v>0</v>
      </c>
    </row>
    <row r="34" spans="1:22" ht="18" customHeight="1" thickBot="1">
      <c r="A34" s="79"/>
      <c r="B34" s="88"/>
      <c r="C34" s="89">
        <f>SUM(C32:C33)</f>
        <v>20</v>
      </c>
      <c r="D34" s="90"/>
      <c r="E34" s="90"/>
      <c r="F34" s="90"/>
      <c r="G34" s="91"/>
      <c r="H34" s="89">
        <f>SUM(H32:H33)</f>
        <v>20</v>
      </c>
      <c r="I34" s="89">
        <f>SUM(I32:I33)</f>
        <v>7701.193685021176</v>
      </c>
      <c r="J34" s="115" t="s">
        <v>103</v>
      </c>
      <c r="K34" s="106">
        <v>0</v>
      </c>
      <c r="L34" s="28">
        <f t="shared" si="9"/>
        <v>0</v>
      </c>
      <c r="M34" s="32">
        <f>L34*2219.16</f>
        <v>0</v>
      </c>
    </row>
    <row r="35" spans="1:22" ht="16.5" customHeight="1" thickBot="1">
      <c r="A35" s="14">
        <v>23</v>
      </c>
      <c r="B35" s="15" t="s">
        <v>17</v>
      </c>
      <c r="C35" s="95">
        <v>30</v>
      </c>
      <c r="D35" s="16"/>
      <c r="E35" s="17"/>
      <c r="F35" s="17"/>
      <c r="G35" s="18"/>
      <c r="H35" s="19">
        <f t="shared" si="0"/>
        <v>30</v>
      </c>
      <c r="I35" s="19">
        <f t="shared" ref="I35:I36" si="12">+(C35*R35)+(D35*S35)+(E35*T35)+(F35*U35)+(G35*V35)</f>
        <v>7547.1698113207531</v>
      </c>
      <c r="J35" s="115" t="s">
        <v>104</v>
      </c>
      <c r="K35" s="106">
        <v>0</v>
      </c>
      <c r="L35" s="28">
        <f t="shared" si="9"/>
        <v>0</v>
      </c>
      <c r="M35" s="32">
        <f>L35*2410.16</f>
        <v>0</v>
      </c>
      <c r="R35">
        <v>251.57232704402509</v>
      </c>
      <c r="S35">
        <v>503.14465408805017</v>
      </c>
      <c r="T35">
        <v>0</v>
      </c>
      <c r="U35">
        <v>0</v>
      </c>
      <c r="V35">
        <v>0</v>
      </c>
    </row>
    <row r="36" spans="1:22" ht="15.75" customHeight="1" thickTop="1" thickBot="1">
      <c r="A36" s="96">
        <v>24</v>
      </c>
      <c r="B36" s="41" t="s">
        <v>18</v>
      </c>
      <c r="C36" s="97">
        <v>30</v>
      </c>
      <c r="D36" s="42"/>
      <c r="E36" s="43"/>
      <c r="F36" s="43"/>
      <c r="G36" s="44"/>
      <c r="H36" s="45">
        <f t="shared" si="0"/>
        <v>30</v>
      </c>
      <c r="I36" s="46">
        <f t="shared" si="12"/>
        <v>7547.1698113207531</v>
      </c>
      <c r="J36" s="115" t="s">
        <v>105</v>
      </c>
      <c r="K36" s="106">
        <v>0</v>
      </c>
      <c r="L36" s="28">
        <f t="shared" si="9"/>
        <v>0</v>
      </c>
      <c r="M36" s="32">
        <f>L36*1553</f>
        <v>0</v>
      </c>
      <c r="R36">
        <v>251.57232704402509</v>
      </c>
      <c r="S36">
        <v>503.14465408805017</v>
      </c>
      <c r="T36">
        <v>0</v>
      </c>
      <c r="U36">
        <v>0</v>
      </c>
      <c r="V36">
        <v>0</v>
      </c>
    </row>
    <row r="37" spans="1:22" ht="19.5" customHeight="1" thickBot="1">
      <c r="A37" s="79"/>
      <c r="B37" s="98"/>
      <c r="C37" s="89">
        <f>SUM(C35:C36)</f>
        <v>60</v>
      </c>
      <c r="D37" s="89">
        <f>SUM(D35:D36)</f>
        <v>0</v>
      </c>
      <c r="E37" s="90"/>
      <c r="F37" s="90"/>
      <c r="G37" s="91"/>
      <c r="H37" s="89">
        <f>SUM(H35:H36)</f>
        <v>60</v>
      </c>
      <c r="I37" s="89">
        <f>SUM(I35:I36)</f>
        <v>15094.339622641506</v>
      </c>
      <c r="J37" s="115" t="s">
        <v>106</v>
      </c>
      <c r="K37" s="106">
        <v>0</v>
      </c>
      <c r="L37" s="28">
        <f t="shared" si="9"/>
        <v>0</v>
      </c>
      <c r="M37" s="32">
        <f>L37*2123.4</f>
        <v>0</v>
      </c>
    </row>
    <row r="38" spans="1:22" ht="16.5" customHeight="1" thickTop="1" thickBot="1">
      <c r="A38" s="14">
        <v>25</v>
      </c>
      <c r="B38" s="15" t="s">
        <v>19</v>
      </c>
      <c r="C38" s="100">
        <v>5</v>
      </c>
      <c r="D38" s="101"/>
      <c r="E38" s="16"/>
      <c r="F38" s="26"/>
      <c r="G38" s="16"/>
      <c r="H38" s="19">
        <f t="shared" si="0"/>
        <v>5</v>
      </c>
      <c r="I38" s="102">
        <f t="shared" ref="I38:I66" si="13">+(C38*R38)+(D38*S38)+(E38*T38)+(F38*U38)+(G38*V38)</f>
        <v>3144.6540880503135</v>
      </c>
      <c r="J38" s="99" t="s">
        <v>73</v>
      </c>
      <c r="K38" s="83" t="s">
        <v>53</v>
      </c>
      <c r="L38" s="84" t="s">
        <v>63</v>
      </c>
      <c r="M38" s="85" t="s">
        <v>74</v>
      </c>
      <c r="R38">
        <v>628.93081761006272</v>
      </c>
      <c r="S38">
        <v>827.97632650087246</v>
      </c>
      <c r="T38">
        <v>839.91829274848135</v>
      </c>
      <c r="U38">
        <v>0</v>
      </c>
      <c r="V38">
        <v>1276.6758049776918</v>
      </c>
    </row>
    <row r="39" spans="1:22" ht="16.5" customHeight="1" thickTop="1" thickBot="1">
      <c r="A39" s="23">
        <v>26</v>
      </c>
      <c r="B39" s="24" t="s">
        <v>20</v>
      </c>
      <c r="C39" s="103">
        <v>8</v>
      </c>
      <c r="D39" s="103"/>
      <c r="E39" s="25"/>
      <c r="F39" s="25"/>
      <c r="G39" s="25"/>
      <c r="H39" s="19">
        <f t="shared" si="0"/>
        <v>8</v>
      </c>
      <c r="I39" s="33">
        <f t="shared" si="13"/>
        <v>5031.4465408805017</v>
      </c>
      <c r="J39" s="104" t="s">
        <v>68</v>
      </c>
      <c r="K39" s="105">
        <v>2</v>
      </c>
      <c r="L39" s="28">
        <f>K39</f>
        <v>2</v>
      </c>
      <c r="M39" s="32">
        <f>L39*1269.84</f>
        <v>2539.6799999999998</v>
      </c>
      <c r="R39">
        <v>628.93081761006272</v>
      </c>
      <c r="S39">
        <v>827.97632650087246</v>
      </c>
      <c r="T39">
        <v>839.91829274848135</v>
      </c>
      <c r="U39">
        <v>1368</v>
      </c>
      <c r="V39">
        <v>1343.8692683975701</v>
      </c>
    </row>
    <row r="40" spans="1:22" ht="16.5" customHeight="1" thickTop="1" thickBot="1">
      <c r="A40" s="23">
        <v>27</v>
      </c>
      <c r="B40" s="24" t="s">
        <v>21</v>
      </c>
      <c r="C40" s="103"/>
      <c r="D40" s="103"/>
      <c r="E40" s="25"/>
      <c r="F40" s="26"/>
      <c r="G40" s="25"/>
      <c r="H40" s="19">
        <f t="shared" si="0"/>
        <v>0</v>
      </c>
      <c r="I40" s="33">
        <f t="shared" si="13"/>
        <v>0</v>
      </c>
      <c r="J40" s="104" t="s">
        <v>69</v>
      </c>
      <c r="K40" s="106">
        <v>2</v>
      </c>
      <c r="L40" s="28">
        <f>K40</f>
        <v>2</v>
      </c>
      <c r="M40" s="32">
        <f>L40*1269.84</f>
        <v>2539.6799999999998</v>
      </c>
      <c r="R40">
        <v>628.93081761006272</v>
      </c>
      <c r="S40">
        <v>827.97632650087246</v>
      </c>
      <c r="T40">
        <v>839.91829274848135</v>
      </c>
      <c r="U40">
        <v>0</v>
      </c>
      <c r="V40">
        <v>1343.8692683975701</v>
      </c>
    </row>
    <row r="41" spans="1:22" ht="16.5" customHeight="1" thickTop="1">
      <c r="A41" s="23">
        <v>28</v>
      </c>
      <c r="B41" s="24" t="s">
        <v>22</v>
      </c>
      <c r="C41" s="103">
        <v>20</v>
      </c>
      <c r="D41" s="103"/>
      <c r="E41" s="25"/>
      <c r="F41" s="25"/>
      <c r="G41" s="25"/>
      <c r="H41" s="19">
        <f t="shared" si="0"/>
        <v>20</v>
      </c>
      <c r="I41" s="33">
        <f t="shared" si="13"/>
        <v>12578.616352201254</v>
      </c>
      <c r="J41" s="104" t="s">
        <v>70</v>
      </c>
      <c r="K41" s="106"/>
      <c r="L41" s="28">
        <f>K41</f>
        <v>0</v>
      </c>
      <c r="M41" s="34">
        <f>L41*1269.84</f>
        <v>0</v>
      </c>
      <c r="R41">
        <v>628.93081761006272</v>
      </c>
      <c r="S41">
        <v>827.97632650087246</v>
      </c>
      <c r="T41">
        <v>839.91829274848135</v>
      </c>
      <c r="U41">
        <v>1368</v>
      </c>
      <c r="V41">
        <v>1276.6758049776918</v>
      </c>
    </row>
    <row r="42" spans="1:22" ht="16.5" customHeight="1">
      <c r="A42" s="23">
        <v>29</v>
      </c>
      <c r="B42" s="24" t="s">
        <v>23</v>
      </c>
      <c r="C42" s="103">
        <v>35</v>
      </c>
      <c r="D42" s="103"/>
      <c r="E42" s="25"/>
      <c r="F42" s="25"/>
      <c r="G42" s="25"/>
      <c r="H42" s="19">
        <f t="shared" si="0"/>
        <v>35</v>
      </c>
      <c r="I42" s="33">
        <f t="shared" si="13"/>
        <v>22012.578616352195</v>
      </c>
      <c r="J42" s="107"/>
      <c r="K42" s="33"/>
      <c r="L42" s="25"/>
      <c r="M42" s="34"/>
      <c r="R42">
        <v>628.93081761006272</v>
      </c>
      <c r="S42">
        <v>827.97632650087246</v>
      </c>
      <c r="T42">
        <v>923.91012202332945</v>
      </c>
      <c r="U42">
        <v>1368</v>
      </c>
      <c r="V42">
        <v>1411.0627318174484</v>
      </c>
    </row>
    <row r="43" spans="1:22" ht="16.5" customHeight="1" thickBot="1">
      <c r="A43" s="23">
        <v>30</v>
      </c>
      <c r="B43" s="24" t="s">
        <v>24</v>
      </c>
      <c r="C43" s="103">
        <v>10</v>
      </c>
      <c r="D43" s="103"/>
      <c r="E43" s="25"/>
      <c r="F43" s="25"/>
      <c r="G43" s="25"/>
      <c r="H43" s="19">
        <f t="shared" si="0"/>
        <v>10</v>
      </c>
      <c r="I43" s="33">
        <f t="shared" si="13"/>
        <v>6289.308176100627</v>
      </c>
      <c r="J43" s="28" t="s">
        <v>107</v>
      </c>
      <c r="K43" s="30">
        <v>15</v>
      </c>
      <c r="L43" s="28">
        <f>K43</f>
        <v>15</v>
      </c>
      <c r="M43" s="32">
        <f>3.49*240*L43</f>
        <v>12564</v>
      </c>
      <c r="R43">
        <v>628.93081761006272</v>
      </c>
      <c r="S43">
        <v>827.97632650087246</v>
      </c>
      <c r="T43">
        <v>923.91012202332945</v>
      </c>
      <c r="U43">
        <v>1368</v>
      </c>
      <c r="V43">
        <v>1411.0627318174484</v>
      </c>
    </row>
    <row r="44" spans="1:22" ht="16.5" customHeight="1" thickTop="1" thickBot="1">
      <c r="A44" s="23">
        <v>31</v>
      </c>
      <c r="B44" s="24" t="s">
        <v>85</v>
      </c>
      <c r="C44" s="103">
        <v>10</v>
      </c>
      <c r="D44" s="77"/>
      <c r="E44" s="25"/>
      <c r="F44" s="26"/>
      <c r="G44" s="37"/>
      <c r="H44" s="19">
        <f t="shared" si="0"/>
        <v>10</v>
      </c>
      <c r="I44" s="33">
        <f t="shared" si="13"/>
        <v>6289.308176100627</v>
      </c>
      <c r="J44" s="28" t="s">
        <v>108</v>
      </c>
      <c r="K44" s="30"/>
      <c r="L44" s="28">
        <f t="shared" ref="L44:L63" si="14">K44</f>
        <v>0</v>
      </c>
      <c r="M44" s="32">
        <f>3.49*240*L44</f>
        <v>0</v>
      </c>
      <c r="R44">
        <v>628.93081761006272</v>
      </c>
      <c r="S44">
        <v>0</v>
      </c>
      <c r="T44">
        <v>839.91829274848135</v>
      </c>
      <c r="U44">
        <v>0</v>
      </c>
      <c r="V44">
        <v>0</v>
      </c>
    </row>
    <row r="45" spans="1:22" ht="16.5" customHeight="1" thickTop="1" thickBot="1">
      <c r="A45" s="23">
        <v>32</v>
      </c>
      <c r="B45" s="24" t="s">
        <v>25</v>
      </c>
      <c r="C45" s="103">
        <v>10</v>
      </c>
      <c r="D45" s="77"/>
      <c r="E45" s="25"/>
      <c r="F45" s="25"/>
      <c r="G45" s="109"/>
      <c r="H45" s="19">
        <f t="shared" si="0"/>
        <v>10</v>
      </c>
      <c r="I45" s="33">
        <f t="shared" si="13"/>
        <v>6289.308176100627</v>
      </c>
      <c r="J45" s="28" t="s">
        <v>109</v>
      </c>
      <c r="K45" s="30">
        <v>15</v>
      </c>
      <c r="L45" s="28">
        <f t="shared" si="14"/>
        <v>15</v>
      </c>
      <c r="M45" s="32">
        <f>L45*3.49*240</f>
        <v>12564</v>
      </c>
      <c r="R45">
        <v>628.93081761006272</v>
      </c>
      <c r="S45">
        <v>0</v>
      </c>
      <c r="T45">
        <v>923.91012202332945</v>
      </c>
      <c r="U45">
        <v>1368</v>
      </c>
      <c r="V45">
        <v>1411.0627318174484</v>
      </c>
    </row>
    <row r="46" spans="1:22" ht="16.5" customHeight="1" thickTop="1" thickBot="1">
      <c r="A46" s="23">
        <v>33</v>
      </c>
      <c r="B46" s="24" t="s">
        <v>137</v>
      </c>
      <c r="C46" s="103">
        <v>10</v>
      </c>
      <c r="D46" s="77"/>
      <c r="E46" s="26"/>
      <c r="F46" s="26"/>
      <c r="G46" s="37"/>
      <c r="H46" s="19">
        <f t="shared" si="0"/>
        <v>10</v>
      </c>
      <c r="I46" s="33">
        <f t="shared" si="13"/>
        <v>6289.308176100627</v>
      </c>
      <c r="J46" s="28" t="s">
        <v>110</v>
      </c>
      <c r="K46" s="30"/>
      <c r="L46" s="28">
        <f t="shared" si="14"/>
        <v>0</v>
      </c>
      <c r="M46" s="32">
        <f>L46*3.49*240</f>
        <v>0</v>
      </c>
      <c r="R46">
        <v>628.93081761006272</v>
      </c>
      <c r="S46">
        <v>0</v>
      </c>
      <c r="T46">
        <v>0</v>
      </c>
      <c r="U46">
        <v>0</v>
      </c>
      <c r="V46">
        <v>0</v>
      </c>
    </row>
    <row r="47" spans="1:22" ht="16.5" customHeight="1" thickTop="1" thickBot="1">
      <c r="A47" s="23">
        <v>34</v>
      </c>
      <c r="B47" s="24" t="s">
        <v>134</v>
      </c>
      <c r="C47" s="103"/>
      <c r="D47" s="77"/>
      <c r="E47" s="26"/>
      <c r="F47" s="26"/>
      <c r="G47" s="37"/>
      <c r="H47" s="19">
        <f t="shared" si="0"/>
        <v>0</v>
      </c>
      <c r="I47" s="33">
        <f t="shared" si="13"/>
        <v>0</v>
      </c>
      <c r="J47" s="172" t="s">
        <v>112</v>
      </c>
      <c r="K47" s="106"/>
      <c r="L47" s="28">
        <f t="shared" si="14"/>
        <v>0</v>
      </c>
      <c r="M47" s="32">
        <f>855.79*L47</f>
        <v>0</v>
      </c>
      <c r="R47">
        <v>628.93081761006272</v>
      </c>
      <c r="S47">
        <v>0</v>
      </c>
      <c r="T47">
        <v>0</v>
      </c>
      <c r="U47">
        <v>0</v>
      </c>
      <c r="V47">
        <v>0</v>
      </c>
    </row>
    <row r="48" spans="1:22" ht="16.5" customHeight="1" thickTop="1">
      <c r="A48" s="23">
        <v>35</v>
      </c>
      <c r="B48" s="24" t="s">
        <v>26</v>
      </c>
      <c r="C48" s="103">
        <v>15</v>
      </c>
      <c r="D48" s="103"/>
      <c r="E48" s="25"/>
      <c r="F48" s="25"/>
      <c r="G48" s="109"/>
      <c r="H48" s="19">
        <f t="shared" si="0"/>
        <v>15</v>
      </c>
      <c r="I48" s="33">
        <f t="shared" si="13"/>
        <v>9433.9622641509413</v>
      </c>
      <c r="J48" s="172" t="s">
        <v>113</v>
      </c>
      <c r="K48" s="106"/>
      <c r="L48" s="28">
        <f t="shared" si="14"/>
        <v>0</v>
      </c>
      <c r="M48" s="32">
        <f t="shared" ref="M48:M63" si="15">855.79*L48</f>
        <v>0</v>
      </c>
      <c r="R48">
        <v>628.93081761006272</v>
      </c>
      <c r="S48">
        <v>827.97632650087246</v>
      </c>
      <c r="T48">
        <v>839.91829274848135</v>
      </c>
      <c r="U48">
        <v>1368</v>
      </c>
      <c r="V48">
        <v>1276.6758049776918</v>
      </c>
    </row>
    <row r="49" spans="1:22" ht="16.5" customHeight="1" thickBot="1">
      <c r="A49" s="23">
        <v>36</v>
      </c>
      <c r="B49" s="24" t="s">
        <v>27</v>
      </c>
      <c r="C49" s="110">
        <v>10</v>
      </c>
      <c r="D49" s="110"/>
      <c r="E49" s="25"/>
      <c r="F49" s="25"/>
      <c r="G49" s="109"/>
      <c r="H49" s="19">
        <f t="shared" si="0"/>
        <v>10</v>
      </c>
      <c r="I49" s="33">
        <f t="shared" si="13"/>
        <v>6289.308176100627</v>
      </c>
      <c r="J49" s="172" t="s">
        <v>114</v>
      </c>
      <c r="K49" s="106"/>
      <c r="L49" s="28">
        <f t="shared" si="14"/>
        <v>0</v>
      </c>
      <c r="M49" s="32">
        <f t="shared" si="15"/>
        <v>0</v>
      </c>
      <c r="R49">
        <v>628.93081761006272</v>
      </c>
      <c r="S49">
        <v>827.97632650087246</v>
      </c>
      <c r="T49">
        <v>839.91829274848135</v>
      </c>
      <c r="U49">
        <v>1368</v>
      </c>
      <c r="V49">
        <v>1276.6758049776918</v>
      </c>
    </row>
    <row r="50" spans="1:22" ht="16.5" customHeight="1" thickTop="1" thickBot="1">
      <c r="A50" s="23">
        <v>37</v>
      </c>
      <c r="B50" s="24" t="s">
        <v>28</v>
      </c>
      <c r="C50" s="110">
        <v>10</v>
      </c>
      <c r="D50" s="77"/>
      <c r="E50" s="25"/>
      <c r="F50" s="26"/>
      <c r="G50" s="37"/>
      <c r="H50" s="19">
        <f t="shared" si="0"/>
        <v>10</v>
      </c>
      <c r="I50" s="33">
        <f t="shared" si="13"/>
        <v>6289.308176100627</v>
      </c>
      <c r="J50" s="172" t="s">
        <v>115</v>
      </c>
      <c r="K50" s="106"/>
      <c r="L50" s="28">
        <f t="shared" si="14"/>
        <v>0</v>
      </c>
      <c r="M50" s="32">
        <f t="shared" si="15"/>
        <v>0</v>
      </c>
      <c r="R50">
        <v>628.93081761006272</v>
      </c>
      <c r="S50">
        <v>0</v>
      </c>
      <c r="T50">
        <v>839.91829274848135</v>
      </c>
      <c r="U50">
        <v>0</v>
      </c>
      <c r="V50">
        <v>0</v>
      </c>
    </row>
    <row r="51" spans="1:22" ht="16.5" customHeight="1" thickTop="1" thickBot="1">
      <c r="A51" s="23">
        <v>38</v>
      </c>
      <c r="B51" s="24" t="s">
        <v>29</v>
      </c>
      <c r="C51" s="110">
        <v>20</v>
      </c>
      <c r="D51" s="77"/>
      <c r="E51" s="25"/>
      <c r="F51" s="26"/>
      <c r="G51" s="37"/>
      <c r="H51" s="19">
        <f t="shared" si="0"/>
        <v>20</v>
      </c>
      <c r="I51" s="33">
        <f t="shared" si="13"/>
        <v>10062.893081761003</v>
      </c>
      <c r="J51" s="172" t="s">
        <v>116</v>
      </c>
      <c r="K51" s="106"/>
      <c r="L51" s="28">
        <f t="shared" si="14"/>
        <v>0</v>
      </c>
      <c r="M51" s="32">
        <f t="shared" si="15"/>
        <v>0</v>
      </c>
      <c r="R51">
        <v>503.14465408805017</v>
      </c>
      <c r="S51">
        <v>0</v>
      </c>
      <c r="T51">
        <v>839.91829274848135</v>
      </c>
      <c r="U51">
        <v>0</v>
      </c>
      <c r="V51">
        <v>0</v>
      </c>
    </row>
    <row r="52" spans="1:22" ht="16.5" customHeight="1" thickTop="1" thickBot="1">
      <c r="A52" s="23">
        <v>39</v>
      </c>
      <c r="B52" s="24" t="s">
        <v>30</v>
      </c>
      <c r="C52" s="110"/>
      <c r="D52" s="77"/>
      <c r="E52" s="25"/>
      <c r="F52" s="26"/>
      <c r="G52" s="37"/>
      <c r="H52" s="19">
        <f t="shared" si="0"/>
        <v>0</v>
      </c>
      <c r="I52" s="33">
        <f t="shared" si="13"/>
        <v>0</v>
      </c>
      <c r="J52" s="172" t="s">
        <v>117</v>
      </c>
      <c r="K52" s="106"/>
      <c r="L52" s="28">
        <f t="shared" si="14"/>
        <v>0</v>
      </c>
      <c r="M52" s="32">
        <f t="shared" si="15"/>
        <v>0</v>
      </c>
      <c r="R52">
        <v>503.14465408805017</v>
      </c>
      <c r="S52">
        <v>0</v>
      </c>
      <c r="T52">
        <v>839.91829274848135</v>
      </c>
      <c r="U52">
        <v>0</v>
      </c>
      <c r="V52">
        <v>0</v>
      </c>
    </row>
    <row r="53" spans="1:22" ht="16.5" customHeight="1" thickTop="1" thickBot="1">
      <c r="A53" s="23">
        <v>40</v>
      </c>
      <c r="B53" s="24" t="s">
        <v>31</v>
      </c>
      <c r="C53" s="110">
        <v>10</v>
      </c>
      <c r="D53" s="110"/>
      <c r="E53" s="25"/>
      <c r="F53" s="26"/>
      <c r="G53" s="37"/>
      <c r="H53" s="19">
        <f t="shared" si="0"/>
        <v>10</v>
      </c>
      <c r="I53" s="33">
        <f t="shared" si="13"/>
        <v>6289.308176100627</v>
      </c>
      <c r="J53" s="172" t="s">
        <v>118</v>
      </c>
      <c r="K53" s="106"/>
      <c r="L53" s="28">
        <f t="shared" si="14"/>
        <v>0</v>
      </c>
      <c r="M53" s="32">
        <f t="shared" si="15"/>
        <v>0</v>
      </c>
      <c r="R53">
        <v>628.93081761006272</v>
      </c>
      <c r="S53">
        <v>827.97632650087246</v>
      </c>
      <c r="T53">
        <v>839.91829274848135</v>
      </c>
      <c r="U53">
        <v>0</v>
      </c>
      <c r="V53">
        <v>0</v>
      </c>
    </row>
    <row r="54" spans="1:22" ht="16.5" customHeight="1" thickTop="1" thickBot="1">
      <c r="A54" s="23">
        <v>41</v>
      </c>
      <c r="B54" s="24" t="s">
        <v>32</v>
      </c>
      <c r="C54" s="110"/>
      <c r="D54" s="111"/>
      <c r="E54" s="26"/>
      <c r="F54" s="26"/>
      <c r="G54" s="37"/>
      <c r="H54" s="19">
        <f t="shared" si="0"/>
        <v>0</v>
      </c>
      <c r="I54" s="33">
        <f t="shared" si="13"/>
        <v>0</v>
      </c>
      <c r="J54" s="172" t="s">
        <v>119</v>
      </c>
      <c r="K54" s="113"/>
      <c r="L54" s="112">
        <f t="shared" si="14"/>
        <v>0</v>
      </c>
      <c r="M54" s="32">
        <f t="shared" si="15"/>
        <v>0</v>
      </c>
      <c r="R54">
        <v>628.93081761006272</v>
      </c>
      <c r="S54">
        <v>0</v>
      </c>
      <c r="T54">
        <v>0</v>
      </c>
      <c r="U54">
        <v>0</v>
      </c>
      <c r="V54">
        <v>0</v>
      </c>
    </row>
    <row r="55" spans="1:22" ht="16.5" customHeight="1" thickTop="1" thickBot="1">
      <c r="A55" s="23">
        <v>42</v>
      </c>
      <c r="B55" s="24" t="s">
        <v>72</v>
      </c>
      <c r="C55" s="110">
        <v>10</v>
      </c>
      <c r="D55" s="77"/>
      <c r="E55" s="26"/>
      <c r="F55" s="26"/>
      <c r="G55" s="114"/>
      <c r="H55" s="19">
        <f t="shared" si="0"/>
        <v>10</v>
      </c>
      <c r="I55" s="33">
        <f t="shared" si="13"/>
        <v>6289.308176100627</v>
      </c>
      <c r="J55" s="172" t="s">
        <v>120</v>
      </c>
      <c r="K55" s="106"/>
      <c r="L55" s="28">
        <f t="shared" si="14"/>
        <v>0</v>
      </c>
      <c r="M55" s="32">
        <f t="shared" si="15"/>
        <v>0</v>
      </c>
      <c r="R55">
        <v>628.93081761006272</v>
      </c>
      <c r="S55">
        <v>0</v>
      </c>
      <c r="T55">
        <v>0</v>
      </c>
      <c r="U55">
        <v>0</v>
      </c>
      <c r="V55">
        <v>0</v>
      </c>
    </row>
    <row r="56" spans="1:22" ht="16.5" customHeight="1" thickTop="1" thickBot="1">
      <c r="A56" s="23">
        <v>43</v>
      </c>
      <c r="B56" s="24" t="s">
        <v>33</v>
      </c>
      <c r="C56" s="110"/>
      <c r="D56" s="77"/>
      <c r="E56" s="25"/>
      <c r="F56" s="26"/>
      <c r="G56" s="37"/>
      <c r="H56" s="19">
        <f t="shared" si="0"/>
        <v>0</v>
      </c>
      <c r="I56" s="33">
        <f t="shared" si="13"/>
        <v>0</v>
      </c>
      <c r="J56" s="172" t="s">
        <v>121</v>
      </c>
      <c r="K56" s="106"/>
      <c r="L56" s="28">
        <f t="shared" si="14"/>
        <v>0</v>
      </c>
      <c r="M56" s="32">
        <f t="shared" si="15"/>
        <v>0</v>
      </c>
      <c r="R56">
        <v>628.93081761006272</v>
      </c>
      <c r="S56">
        <v>0</v>
      </c>
      <c r="T56">
        <v>755.92646347363313</v>
      </c>
      <c r="U56">
        <v>0</v>
      </c>
      <c r="V56">
        <v>0</v>
      </c>
    </row>
    <row r="57" spans="1:22" ht="16.5" customHeight="1" thickTop="1" thickBot="1">
      <c r="A57" s="23">
        <v>44</v>
      </c>
      <c r="B57" s="24" t="s">
        <v>34</v>
      </c>
      <c r="C57" s="110"/>
      <c r="D57" s="77"/>
      <c r="E57" s="25"/>
      <c r="F57" s="26"/>
      <c r="G57" s="37"/>
      <c r="H57" s="19">
        <f t="shared" si="0"/>
        <v>0</v>
      </c>
      <c r="I57" s="33">
        <f t="shared" si="13"/>
        <v>0</v>
      </c>
      <c r="J57" s="172" t="s">
        <v>122</v>
      </c>
      <c r="K57" s="106"/>
      <c r="L57" s="28">
        <f t="shared" si="14"/>
        <v>0</v>
      </c>
      <c r="M57" s="32">
        <f t="shared" si="15"/>
        <v>0</v>
      </c>
      <c r="R57">
        <v>628.93081761006272</v>
      </c>
      <c r="S57">
        <v>0</v>
      </c>
      <c r="T57">
        <v>755.92646347363313</v>
      </c>
      <c r="U57">
        <v>0</v>
      </c>
      <c r="V57">
        <v>0</v>
      </c>
    </row>
    <row r="58" spans="1:22" ht="16.5" customHeight="1" thickTop="1" thickBot="1">
      <c r="A58" s="23">
        <v>45</v>
      </c>
      <c r="B58" s="24" t="s">
        <v>35</v>
      </c>
      <c r="C58" s="110">
        <v>10</v>
      </c>
      <c r="D58" s="77"/>
      <c r="E58" s="25"/>
      <c r="F58" s="26"/>
      <c r="G58" s="109"/>
      <c r="H58" s="19">
        <f t="shared" si="0"/>
        <v>10</v>
      </c>
      <c r="I58" s="33">
        <f t="shared" si="13"/>
        <v>6289.308176100627</v>
      </c>
      <c r="J58" s="172" t="s">
        <v>123</v>
      </c>
      <c r="K58" s="106"/>
      <c r="L58" s="28">
        <f t="shared" si="14"/>
        <v>0</v>
      </c>
      <c r="M58" s="32">
        <f t="shared" si="15"/>
        <v>0</v>
      </c>
      <c r="R58">
        <v>628.93081761006272</v>
      </c>
      <c r="S58">
        <v>0</v>
      </c>
      <c r="T58">
        <v>755.92646347363313</v>
      </c>
      <c r="U58">
        <v>0</v>
      </c>
      <c r="V58">
        <v>1075.095414718056</v>
      </c>
    </row>
    <row r="59" spans="1:22" ht="16.5" customHeight="1" thickTop="1" thickBot="1">
      <c r="A59" s="23">
        <v>46</v>
      </c>
      <c r="B59" s="24" t="s">
        <v>36</v>
      </c>
      <c r="C59" s="110">
        <v>10</v>
      </c>
      <c r="D59" s="110"/>
      <c r="E59" s="25"/>
      <c r="F59" s="26"/>
      <c r="G59" s="109"/>
      <c r="H59" s="19">
        <f t="shared" si="0"/>
        <v>10</v>
      </c>
      <c r="I59" s="33">
        <f t="shared" si="13"/>
        <v>6289.308176100627</v>
      </c>
      <c r="J59" s="172" t="s">
        <v>124</v>
      </c>
      <c r="K59" s="106"/>
      <c r="L59" s="28">
        <f t="shared" si="14"/>
        <v>0</v>
      </c>
      <c r="M59" s="32">
        <f t="shared" si="15"/>
        <v>0</v>
      </c>
      <c r="R59">
        <v>628.93081761006272</v>
      </c>
      <c r="S59">
        <v>827.97632650087246</v>
      </c>
      <c r="T59">
        <v>839.91829274848135</v>
      </c>
      <c r="U59">
        <v>0</v>
      </c>
      <c r="V59">
        <v>1276.6758049776918</v>
      </c>
    </row>
    <row r="60" spans="1:22" ht="16.5" customHeight="1" thickTop="1" thickBot="1">
      <c r="A60" s="23">
        <v>47</v>
      </c>
      <c r="B60" s="24" t="s">
        <v>135</v>
      </c>
      <c r="C60" s="110"/>
      <c r="D60" s="77"/>
      <c r="E60" s="26"/>
      <c r="F60" s="26"/>
      <c r="G60" s="37"/>
      <c r="H60" s="19">
        <f t="shared" si="0"/>
        <v>0</v>
      </c>
      <c r="I60" s="33">
        <f t="shared" si="13"/>
        <v>0</v>
      </c>
      <c r="J60" s="173" t="s">
        <v>125</v>
      </c>
      <c r="K60" s="30"/>
      <c r="L60" s="28">
        <f t="shared" si="14"/>
        <v>0</v>
      </c>
      <c r="M60" s="32">
        <f t="shared" si="15"/>
        <v>0</v>
      </c>
      <c r="Q60" s="116"/>
      <c r="R60">
        <v>628.93081761006272</v>
      </c>
      <c r="S60">
        <v>0</v>
      </c>
      <c r="T60">
        <v>0</v>
      </c>
      <c r="U60">
        <v>0</v>
      </c>
      <c r="V60">
        <v>0</v>
      </c>
    </row>
    <row r="61" spans="1:22" ht="14.25" customHeight="1" thickTop="1" thickBot="1">
      <c r="A61" s="117">
        <v>48</v>
      </c>
      <c r="B61" s="24" t="s">
        <v>37</v>
      </c>
      <c r="C61" s="110">
        <v>15</v>
      </c>
      <c r="D61" s="77"/>
      <c r="E61" s="25"/>
      <c r="F61" s="26"/>
      <c r="G61" s="37"/>
      <c r="H61" s="19">
        <f t="shared" si="0"/>
        <v>15</v>
      </c>
      <c r="I61" s="33">
        <f t="shared" si="13"/>
        <v>9433.9622641509413</v>
      </c>
      <c r="J61" s="173" t="s">
        <v>126</v>
      </c>
      <c r="K61" s="30"/>
      <c r="L61" s="28">
        <f t="shared" si="14"/>
        <v>0</v>
      </c>
      <c r="M61" s="32">
        <f t="shared" si="15"/>
        <v>0</v>
      </c>
      <c r="R61">
        <v>628.93081761006272</v>
      </c>
      <c r="S61">
        <v>0</v>
      </c>
      <c r="T61">
        <v>839.91829274848135</v>
      </c>
      <c r="U61">
        <v>0</v>
      </c>
      <c r="V61">
        <v>0</v>
      </c>
    </row>
    <row r="62" spans="1:22" ht="16.5" customHeight="1" thickTop="1" thickBot="1">
      <c r="A62" s="23">
        <v>49</v>
      </c>
      <c r="B62" s="24" t="s">
        <v>38</v>
      </c>
      <c r="C62" s="110">
        <v>15</v>
      </c>
      <c r="D62" s="77"/>
      <c r="E62" s="26"/>
      <c r="F62" s="25"/>
      <c r="G62" s="37"/>
      <c r="H62" s="19">
        <f t="shared" si="0"/>
        <v>15</v>
      </c>
      <c r="I62" s="33">
        <f t="shared" si="13"/>
        <v>9433.9622641509413</v>
      </c>
      <c r="J62" s="173" t="s">
        <v>127</v>
      </c>
      <c r="K62" s="30"/>
      <c r="L62" s="28">
        <f t="shared" si="14"/>
        <v>0</v>
      </c>
      <c r="M62" s="32">
        <f t="shared" si="15"/>
        <v>0</v>
      </c>
      <c r="R62">
        <v>628.93081761006272</v>
      </c>
      <c r="S62">
        <v>0</v>
      </c>
      <c r="T62">
        <v>0</v>
      </c>
      <c r="U62">
        <v>1368</v>
      </c>
      <c r="V62">
        <v>0</v>
      </c>
    </row>
    <row r="63" spans="1:22" ht="16.5" customHeight="1" thickTop="1" thickBot="1">
      <c r="A63" s="23">
        <v>50</v>
      </c>
      <c r="B63" s="24" t="s">
        <v>39</v>
      </c>
      <c r="C63" s="110">
        <v>10</v>
      </c>
      <c r="D63" s="77"/>
      <c r="E63" s="26"/>
      <c r="F63" s="25"/>
      <c r="G63" s="37"/>
      <c r="H63" s="19">
        <f t="shared" si="0"/>
        <v>10</v>
      </c>
      <c r="I63" s="33">
        <f t="shared" si="13"/>
        <v>6289.308176100627</v>
      </c>
      <c r="J63" s="173" t="s">
        <v>128</v>
      </c>
      <c r="K63" s="30"/>
      <c r="L63" s="28">
        <f t="shared" si="14"/>
        <v>0</v>
      </c>
      <c r="M63" s="32">
        <f t="shared" si="15"/>
        <v>0</v>
      </c>
      <c r="R63">
        <v>628.93081761006272</v>
      </c>
      <c r="S63">
        <v>0</v>
      </c>
      <c r="T63">
        <v>0</v>
      </c>
      <c r="U63">
        <v>1368</v>
      </c>
      <c r="V63">
        <v>0</v>
      </c>
    </row>
    <row r="64" spans="1:22" ht="15.75" customHeight="1" thickTop="1" thickBot="1">
      <c r="A64" s="23">
        <v>51</v>
      </c>
      <c r="B64" s="24" t="s">
        <v>40</v>
      </c>
      <c r="C64" s="25">
        <v>5</v>
      </c>
      <c r="D64" s="26"/>
      <c r="E64" s="26"/>
      <c r="F64" s="26"/>
      <c r="G64" s="37"/>
      <c r="H64" s="19">
        <f t="shared" si="0"/>
        <v>5</v>
      </c>
      <c r="I64" s="33">
        <f t="shared" si="13"/>
        <v>2515.7232704402509</v>
      </c>
      <c r="J64" s="28"/>
      <c r="K64" s="30"/>
      <c r="L64" s="28"/>
      <c r="M64" s="32"/>
      <c r="R64">
        <v>503.14465408805017</v>
      </c>
      <c r="S64">
        <v>0</v>
      </c>
      <c r="T64">
        <v>0</v>
      </c>
      <c r="U64">
        <v>0</v>
      </c>
      <c r="V64">
        <v>0</v>
      </c>
    </row>
    <row r="65" spans="1:22" ht="16.5" customHeight="1" thickTop="1" thickBot="1">
      <c r="A65" s="23">
        <v>52</v>
      </c>
      <c r="B65" s="24" t="s">
        <v>48</v>
      </c>
      <c r="C65" s="25"/>
      <c r="D65" s="26"/>
      <c r="E65" s="26"/>
      <c r="F65" s="26"/>
      <c r="G65" s="109"/>
      <c r="H65" s="19">
        <f t="shared" si="0"/>
        <v>0</v>
      </c>
      <c r="I65" s="33">
        <f t="shared" si="13"/>
        <v>0</v>
      </c>
      <c r="J65" s="118"/>
      <c r="K65" s="119"/>
      <c r="L65" s="120"/>
      <c r="M65" s="121"/>
      <c r="R65">
        <v>628.93081761006272</v>
      </c>
      <c r="S65">
        <v>0</v>
      </c>
      <c r="T65">
        <v>0</v>
      </c>
      <c r="U65">
        <v>0</v>
      </c>
      <c r="V65">
        <v>1209.4823415578132</v>
      </c>
    </row>
    <row r="66" spans="1:22" ht="20.25" customHeight="1" thickTop="1" thickBot="1">
      <c r="A66" s="122">
        <v>53</v>
      </c>
      <c r="B66" s="123" t="s">
        <v>52</v>
      </c>
      <c r="C66" s="124">
        <v>10</v>
      </c>
      <c r="D66" s="43"/>
      <c r="E66" s="109"/>
      <c r="F66" s="43"/>
      <c r="G66" s="44"/>
      <c r="H66" s="45">
        <f t="shared" si="0"/>
        <v>10</v>
      </c>
      <c r="I66" s="48">
        <f t="shared" si="13"/>
        <v>6289.308176100627</v>
      </c>
      <c r="J66" s="125" t="s">
        <v>76</v>
      </c>
      <c r="K66" s="171">
        <f>SUM(H9:H20)+SUM(H23:H30)+H34+H37+SUM(H38:H66)+SUM(H69:H74)+SUM(K9:K20)+SUM(K23:K37)+SUM(K39:K65)</f>
        <v>824</v>
      </c>
      <c r="L66" s="171">
        <f>SUM(I9:I20)+SUM(I23:I30)+I34+I37+SUM(I38:I66)+SUM(I69:I74)+SUM(M9:M20)+SUM(M23:M37)+SUM(M39:M65)</f>
        <v>365391.59105604485</v>
      </c>
      <c r="M66" s="126"/>
      <c r="R66">
        <v>628.93081761006272</v>
      </c>
      <c r="S66">
        <v>0</v>
      </c>
      <c r="T66">
        <v>671.93463419878503</v>
      </c>
      <c r="U66">
        <v>0</v>
      </c>
      <c r="V66">
        <v>0</v>
      </c>
    </row>
    <row r="67" spans="1:22" ht="18" customHeight="1">
      <c r="A67" s="50"/>
      <c r="B67" s="127"/>
      <c r="C67" s="128">
        <f>SUM(C38:C66)</f>
        <v>258</v>
      </c>
      <c r="D67" s="128">
        <f t="shared" ref="D67:G67" si="16">SUM(D38:D66)</f>
        <v>0</v>
      </c>
      <c r="E67" s="128">
        <f t="shared" si="16"/>
        <v>0</v>
      </c>
      <c r="F67" s="128">
        <f t="shared" si="16"/>
        <v>0</v>
      </c>
      <c r="G67" s="128">
        <f t="shared" si="16"/>
        <v>0</v>
      </c>
      <c r="H67" s="53">
        <f>SUM(H38:H66)</f>
        <v>258</v>
      </c>
      <c r="I67" s="53">
        <f>SUM(I38:I66)</f>
        <v>159119.4968553459</v>
      </c>
      <c r="J67" s="129"/>
      <c r="K67" s="130"/>
      <c r="L67" s="130"/>
      <c r="M67" s="131"/>
    </row>
    <row r="68" spans="1:22" ht="19.5" customHeight="1">
      <c r="A68" s="57"/>
      <c r="B68" s="58"/>
      <c r="C68" s="132" t="s">
        <v>54</v>
      </c>
      <c r="D68" s="61"/>
      <c r="E68" s="61" t="s">
        <v>55</v>
      </c>
      <c r="F68" s="60"/>
      <c r="G68" s="62"/>
      <c r="H68" s="63"/>
      <c r="I68" s="64"/>
      <c r="J68" s="133" t="s">
        <v>75</v>
      </c>
      <c r="K68" s="134"/>
      <c r="L68" s="134"/>
      <c r="M68" s="135"/>
    </row>
    <row r="69" spans="1:22" ht="15.75" customHeight="1">
      <c r="A69" s="136">
        <v>54</v>
      </c>
      <c r="B69" s="137" t="s">
        <v>41</v>
      </c>
      <c r="C69" s="95">
        <v>2</v>
      </c>
      <c r="D69" s="138"/>
      <c r="E69" s="95"/>
      <c r="F69" s="139"/>
      <c r="G69" s="140"/>
      <c r="H69" s="19">
        <f t="shared" si="0"/>
        <v>2</v>
      </c>
      <c r="I69" s="141">
        <f t="shared" ref="I69:I74" si="17">+(C69*R69)+(D69*S69)+(E69*T69)+(F69*U69)+(G69*V69)</f>
        <v>3354.297693920335</v>
      </c>
      <c r="J69" s="142"/>
      <c r="K69" s="143"/>
      <c r="L69" s="143"/>
      <c r="M69" s="144"/>
      <c r="R69">
        <v>1677.1488469601675</v>
      </c>
      <c r="S69">
        <v>0</v>
      </c>
      <c r="T69">
        <v>2012.58</v>
      </c>
      <c r="U69">
        <v>0</v>
      </c>
      <c r="V69">
        <v>0</v>
      </c>
    </row>
    <row r="70" spans="1:22" ht="15.75" customHeight="1">
      <c r="A70" s="117">
        <v>55</v>
      </c>
      <c r="B70" s="145" t="s">
        <v>42</v>
      </c>
      <c r="C70" s="146">
        <v>0</v>
      </c>
      <c r="D70" s="77"/>
      <c r="E70" s="146"/>
      <c r="F70" s="147"/>
      <c r="G70" s="148"/>
      <c r="H70" s="19">
        <f t="shared" si="0"/>
        <v>0</v>
      </c>
      <c r="I70" s="149">
        <f t="shared" si="17"/>
        <v>0</v>
      </c>
      <c r="J70" s="142"/>
      <c r="K70" s="143"/>
      <c r="L70" s="143"/>
      <c r="M70" s="144"/>
      <c r="R70">
        <v>1677.1488469601675</v>
      </c>
      <c r="S70">
        <v>0</v>
      </c>
      <c r="T70">
        <v>2012.58</v>
      </c>
      <c r="U70">
        <v>0</v>
      </c>
      <c r="V70">
        <v>0</v>
      </c>
    </row>
    <row r="71" spans="1:22" ht="16.5" customHeight="1">
      <c r="A71" s="117">
        <v>56</v>
      </c>
      <c r="B71" s="145" t="s">
        <v>43</v>
      </c>
      <c r="C71" s="146"/>
      <c r="D71" s="77"/>
      <c r="E71" s="146"/>
      <c r="F71" s="147"/>
      <c r="G71" s="148"/>
      <c r="H71" s="19">
        <f t="shared" si="0"/>
        <v>0</v>
      </c>
      <c r="I71" s="149">
        <f t="shared" si="17"/>
        <v>0</v>
      </c>
      <c r="J71" s="142"/>
      <c r="K71" s="143"/>
      <c r="L71" s="143"/>
      <c r="M71" s="144"/>
      <c r="R71">
        <v>1887.14884696017</v>
      </c>
      <c r="S71">
        <v>0</v>
      </c>
      <c r="T71">
        <v>2348</v>
      </c>
      <c r="U71">
        <v>0</v>
      </c>
      <c r="V71">
        <v>0</v>
      </c>
    </row>
    <row r="72" spans="1:22" ht="14.25" customHeight="1">
      <c r="A72" s="117">
        <v>57</v>
      </c>
      <c r="B72" s="150" t="s">
        <v>44</v>
      </c>
      <c r="C72" s="77"/>
      <c r="D72" s="151"/>
      <c r="E72" s="77"/>
      <c r="F72" s="77"/>
      <c r="G72" s="148"/>
      <c r="H72" s="19">
        <f t="shared" si="0"/>
        <v>0</v>
      </c>
      <c r="I72" s="152">
        <f t="shared" si="17"/>
        <v>0</v>
      </c>
      <c r="J72" s="142"/>
      <c r="K72" s="143"/>
      <c r="L72" s="143"/>
      <c r="M72" s="144"/>
      <c r="R72">
        <v>0</v>
      </c>
      <c r="S72">
        <v>1341.719077568134</v>
      </c>
      <c r="T72">
        <v>0</v>
      </c>
      <c r="U72">
        <v>0</v>
      </c>
      <c r="V72">
        <v>0</v>
      </c>
    </row>
    <row r="73" spans="1:22" ht="15.75" customHeight="1">
      <c r="A73" s="153">
        <v>58</v>
      </c>
      <c r="B73" s="154" t="s">
        <v>45</v>
      </c>
      <c r="C73" s="155"/>
      <c r="D73" s="156"/>
      <c r="E73" s="155"/>
      <c r="F73" s="155"/>
      <c r="G73" s="157"/>
      <c r="H73" s="19">
        <f t="shared" si="0"/>
        <v>0</v>
      </c>
      <c r="I73" s="152">
        <f t="shared" si="17"/>
        <v>0</v>
      </c>
      <c r="J73" s="158"/>
      <c r="K73" s="143"/>
      <c r="L73" s="143"/>
      <c r="M73" s="144"/>
      <c r="R73">
        <v>0</v>
      </c>
      <c r="S73">
        <v>1341.719077568134</v>
      </c>
      <c r="T73">
        <v>0</v>
      </c>
      <c r="U73">
        <v>0</v>
      </c>
      <c r="V73">
        <v>0</v>
      </c>
    </row>
    <row r="74" spans="1:22" ht="15.75" customHeight="1">
      <c r="A74" s="159">
        <v>59</v>
      </c>
      <c r="B74" s="160" t="s">
        <v>46</v>
      </c>
      <c r="C74" s="161">
        <v>40</v>
      </c>
      <c r="D74" s="162"/>
      <c r="E74" s="162"/>
      <c r="F74" s="162"/>
      <c r="G74" s="163"/>
      <c r="H74" s="45">
        <f t="shared" ref="H74" si="18">C74+D74+E74+F74+G74</f>
        <v>40</v>
      </c>
      <c r="I74" s="164">
        <f t="shared" si="17"/>
        <v>10062.893081761005</v>
      </c>
      <c r="J74" s="165"/>
      <c r="K74" s="166"/>
      <c r="L74" s="166"/>
      <c r="M74" s="167"/>
      <c r="R74">
        <v>251.57232704402514</v>
      </c>
      <c r="S74">
        <v>0</v>
      </c>
      <c r="T74">
        <v>0</v>
      </c>
      <c r="U74">
        <v>0</v>
      </c>
      <c r="V74">
        <v>0</v>
      </c>
    </row>
    <row r="75" spans="1:22" ht="18.75" customHeight="1">
      <c r="A75" s="79"/>
      <c r="B75" s="88"/>
      <c r="C75" s="89">
        <f>SUM(C69:C74)</f>
        <v>42</v>
      </c>
      <c r="D75" s="89">
        <f>SUM(D69:D74)</f>
        <v>0</v>
      </c>
      <c r="E75" s="90"/>
      <c r="F75" s="90"/>
      <c r="G75" s="168"/>
      <c r="H75" s="89">
        <f>SUM(H69:H74)</f>
        <v>42</v>
      </c>
      <c r="I75" s="89">
        <f>SUM(I69:I74)</f>
        <v>13417.19077568134</v>
      </c>
      <c r="J75" s="92"/>
      <c r="K75" s="93"/>
      <c r="L75" s="93"/>
      <c r="M75" s="94"/>
    </row>
    <row r="78" spans="1:22">
      <c r="B78" s="169"/>
      <c r="C78" s="169"/>
    </row>
    <row r="79" spans="1:22" hidden="1">
      <c r="B79" s="169"/>
      <c r="C79" s="169"/>
      <c r="H79" t="s">
        <v>86</v>
      </c>
      <c r="I79">
        <f>H67</f>
        <v>258</v>
      </c>
      <c r="J79">
        <f>I67</f>
        <v>159119.4968553459</v>
      </c>
    </row>
    <row r="80" spans="1:22" hidden="1">
      <c r="B80" s="169" t="s">
        <v>91</v>
      </c>
      <c r="C80" s="169">
        <v>2</v>
      </c>
      <c r="H80" t="s">
        <v>88</v>
      </c>
      <c r="I80">
        <f>H21</f>
        <v>340</v>
      </c>
      <c r="J80">
        <f>I21</f>
        <v>102116.16106075123</v>
      </c>
    </row>
    <row r="81" spans="8:10" hidden="1">
      <c r="H81" t="s">
        <v>87</v>
      </c>
      <c r="I81" s="170">
        <f>+H31+H34+H37</f>
        <v>150</v>
      </c>
      <c r="J81" s="170">
        <f>+I31+I34+I37</f>
        <v>60531.38236426645</v>
      </c>
    </row>
    <row r="82" spans="8:10" hidden="1">
      <c r="H82" t="s">
        <v>89</v>
      </c>
      <c r="I82">
        <f>H75</f>
        <v>42</v>
      </c>
      <c r="J82">
        <f>I75</f>
        <v>13417.19077568134</v>
      </c>
    </row>
    <row r="83" spans="8:10" hidden="1">
      <c r="H83" t="s">
        <v>90</v>
      </c>
      <c r="I83">
        <f>K39+K40+K41</f>
        <v>4</v>
      </c>
      <c r="J83">
        <f>M39+M40+M41</f>
        <v>5079.3599999999997</v>
      </c>
    </row>
    <row r="84" spans="8:10" hidden="1">
      <c r="I84">
        <f>SUM(I79:I83)</f>
        <v>794</v>
      </c>
      <c r="J84">
        <f>SUM(J79:J83)</f>
        <v>340263.59105604491</v>
      </c>
    </row>
  </sheetData>
  <autoFilter ref="A8:V20"/>
  <mergeCells count="7">
    <mergeCell ref="A7:K7"/>
    <mergeCell ref="A4:K4"/>
    <mergeCell ref="A5:K5"/>
    <mergeCell ref="A6:K6"/>
    <mergeCell ref="A1:K1"/>
    <mergeCell ref="A2:K2"/>
    <mergeCell ref="A3:K3"/>
  </mergeCells>
  <printOptions horizontalCentered="1" verticalCentered="1"/>
  <pageMargins left="0" right="0" top="0" bottom="0" header="0" footer="0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 BOOK</dc:title>
  <dc:creator>USER</dc:creator>
  <cp:lastModifiedBy>pc1</cp:lastModifiedBy>
  <cp:lastPrinted>2026-06-29T09:35:12Z</cp:lastPrinted>
  <dcterms:created xsi:type="dcterms:W3CDTF">2022-07-20T15:45:00Z</dcterms:created>
  <dcterms:modified xsi:type="dcterms:W3CDTF">2026-07-21T15:08:19Z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6080740cbe5244a8abd2385211afd433</vt:lpwstr>
  </property>
  <property fmtid="{D5CDD505-2E9C-101B-9397-08002B2CF9AE}" pid="3" name="KSOProductBuildVer">
    <vt:lpwstr>1033-11.2.0.11486</vt:lpwstr>
  </property>
</Properties>
</file>